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003 Projects Data Analyst\003 Project Sales Region\"/>
    </mc:Choice>
  </mc:AlternateContent>
  <xr:revisionPtr revIDLastSave="0" documentId="13_ncr:1_{40B4C703-8604-4F16-BF5D-863ADF90FDA8}" xr6:coauthVersionLast="47" xr6:coauthVersionMax="47" xr10:uidLastSave="{00000000-0000-0000-0000-000000000000}"/>
  <bookViews>
    <workbookView xWindow="-120" yWindow="-120" windowWidth="38640" windowHeight="21120" activeTab="6" xr2:uid="{00000000-000D-0000-FFFF-FFFF00000000}"/>
  </bookViews>
  <sheets>
    <sheet name="Entry" sheetId="1" r:id="rId1"/>
    <sheet name="Purchases" sheetId="2" r:id="rId2"/>
    <sheet name="Sales" sheetId="3" r:id="rId3"/>
    <sheet name="Inventory" sheetId="4" r:id="rId4"/>
    <sheet name="Expensives" sheetId="5" r:id="rId5"/>
    <sheet name="Parameters" sheetId="6" r:id="rId6"/>
    <sheet name="Dashboard" sheetId="7" r:id="rId7"/>
  </sheets>
  <definedNames>
    <definedName name="_xlcn.WorksheetConnection_Sales3.0.xlsmTableE1" hidden="1">TableE[]</definedName>
    <definedName name="_xlcn.WorksheetConnection_Sales3.0.xlsmTableI1" hidden="1">TableI[]</definedName>
    <definedName name="_xlcn.WorksheetConnection_Sales3.0.xlsmTableP1" hidden="1">TableP[]</definedName>
    <definedName name="_xlcn.WorksheetConnection_Sales3.0.xlsmTableS1" hidden="1">TableS[]</definedName>
    <definedName name="AmountEx">Expensives!$E$2:$E$31</definedName>
    <definedName name="CategoryEx">Expensives!$C$2:$C$31</definedName>
    <definedName name="Code">Purchases!#REF!</definedName>
    <definedName name="CostPrice">Purchases!$F$2:$F$20</definedName>
    <definedName name="CustomerName">Sales!$D$2:$D$14</definedName>
    <definedName name="Date" localSheetId="2">Sales!$B$2:$B$14</definedName>
    <definedName name="Date">Purchases!$C$2:$C$20</definedName>
    <definedName name="DateEx">Expensives!$B$2:$B$31</definedName>
    <definedName name="Delivery">Purchases!$H$2:$H$20</definedName>
    <definedName name="DescriptionEx">Expensives!$D$2:$D$31</definedName>
    <definedName name="ExpenseIDEx">Expensives!$A$2:$A$31</definedName>
    <definedName name="LastPrice">Purchases!$G$2:$G$20</definedName>
    <definedName name="Link">Purchases!$E$2:$E$20</definedName>
    <definedName name="NativeTimeline_Date">#N/A</definedName>
    <definedName name="NativeTimeline_DateEx">#N/A</definedName>
    <definedName name="OrderID" localSheetId="3">Inventory!$A$2:$A$20</definedName>
    <definedName name="OrderID" localSheetId="2">Sales!$A$2:$A$14</definedName>
    <definedName name="OrderID">Purchases!$A$2:$A$20</definedName>
    <definedName name="PaymentMethod">Sales!$G$2:$G$14</definedName>
    <definedName name="PaymentMethodDV">Parameters!$E$2:$E$3</definedName>
    <definedName name="PaymentMethodEx">Expensives!$F$2:$F$31</definedName>
    <definedName name="Platform">Sales!$C$2:$C$14</definedName>
    <definedName name="PlatformDV">Parameters!$C$2:$C$5</definedName>
    <definedName name="PriceSale">Sales!$H$2:$H$14</definedName>
    <definedName name="Product" localSheetId="3">Inventory!$C$2:$C$20</definedName>
    <definedName name="Product" localSheetId="2">Sales!$F$2:$F$14</definedName>
    <definedName name="Product">Purchases!$D$2:$D$20</definedName>
    <definedName name="Profit">Inventory!$F$2:$F$20</definedName>
    <definedName name="Purchased">Inventory!$D$2:$D$20</definedName>
    <definedName name="SKU" localSheetId="3">Inventory!$B$2:$B$20</definedName>
    <definedName name="SKU">Sales!$E$2:$E$14</definedName>
    <definedName name="SKU2_">Purchases!$B$2:$B$20</definedName>
    <definedName name="SKUDV">Parameters!$A$2:$A$8</definedName>
    <definedName name="Slicer_Status">#N/A</definedName>
    <definedName name="Sold">Inventory!$E$2:$E$20</definedName>
    <definedName name="SoldBy">Purchases!$I$2:$I$20</definedName>
    <definedName name="Status">Inventory!$G$2:$G$20</definedName>
    <definedName name="Supplier">Purchases!$J$2:$J$20</definedName>
  </definedNames>
  <calcPr calcId="191029"/>
  <pivotCaches>
    <pivotCache cacheId="66" r:id="rId8"/>
    <pivotCache cacheId="73" r:id="rId9"/>
    <pivotCache cacheId="78" r:id="rId10"/>
    <pivotCache cacheId="83"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 name="TableS" connection="WorksheetConnection_Sales3.0.xlsm!TableS"/>
          <x15:modelTable id="TableP" name="TableP" connection="WorksheetConnection_Sales3.0.xlsm!TableP"/>
          <x15:modelTable id="TableI" name="TableI" connection="WorksheetConnection_Sales3.0.xlsm!TableI"/>
          <x15:modelTable id="TableE" name="TableE" connection="WorksheetConnection_Sales3.0.xlsm!Table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4" l="1"/>
  <c r="C20" i="4"/>
  <c r="D20" i="4"/>
  <c r="E20" i="4"/>
  <c r="G20" i="4" s="1"/>
  <c r="A20" i="2"/>
  <c r="D3" i="4"/>
  <c r="D4" i="4"/>
  <c r="D5" i="4"/>
  <c r="D6" i="4"/>
  <c r="D7" i="4"/>
  <c r="D8" i="4"/>
  <c r="D9" i="4"/>
  <c r="D10" i="4"/>
  <c r="D11" i="4"/>
  <c r="D12" i="4"/>
  <c r="D13" i="4"/>
  <c r="D14" i="4"/>
  <c r="D15" i="4"/>
  <c r="D16" i="4"/>
  <c r="D17" i="4"/>
  <c r="D18" i="4"/>
  <c r="D19" i="4"/>
  <c r="D2" i="4"/>
  <c r="E3" i="4"/>
  <c r="G3" i="4" s="1"/>
  <c r="E4" i="4"/>
  <c r="E5" i="4"/>
  <c r="G5" i="4" s="1"/>
  <c r="E6" i="4"/>
  <c r="G6" i="4" s="1"/>
  <c r="E7" i="4"/>
  <c r="G7" i="4" s="1"/>
  <c r="E8" i="4"/>
  <c r="G8" i="4" s="1"/>
  <c r="E9" i="4"/>
  <c r="G9" i="4" s="1"/>
  <c r="E10" i="4"/>
  <c r="G10" i="4" s="1"/>
  <c r="E11" i="4"/>
  <c r="G11" i="4" s="1"/>
  <c r="E12" i="4"/>
  <c r="E13" i="4"/>
  <c r="G13" i="4" s="1"/>
  <c r="E14" i="4"/>
  <c r="G14" i="4" s="1"/>
  <c r="E15" i="4"/>
  <c r="F15" i="4" s="1"/>
  <c r="E16" i="4"/>
  <c r="F16" i="4" s="1"/>
  <c r="E17" i="4"/>
  <c r="E18" i="4"/>
  <c r="F18" i="4" s="1"/>
  <c r="E19" i="4"/>
  <c r="G19" i="4" s="1"/>
  <c r="E2" i="4"/>
  <c r="G2" i="4" s="1"/>
  <c r="B2" i="7"/>
  <c r="J2" i="7"/>
  <c r="O2" i="7"/>
  <c r="G2" i="7"/>
  <c r="F20" i="4" l="1"/>
  <c r="F17" i="4"/>
  <c r="F12" i="4"/>
  <c r="F6" i="4"/>
  <c r="G18" i="4"/>
  <c r="F4" i="4"/>
  <c r="F7" i="4"/>
  <c r="F14" i="4"/>
  <c r="G17" i="4"/>
  <c r="G16" i="4"/>
  <c r="G15" i="4"/>
  <c r="G7" i="1"/>
  <c r="G8" i="1"/>
  <c r="F10" i="4"/>
  <c r="F9" i="4"/>
  <c r="F8" i="4"/>
  <c r="F5" i="4"/>
  <c r="F19" i="4"/>
  <c r="F11" i="4"/>
  <c r="F3" i="4"/>
  <c r="F2" i="4"/>
  <c r="F13" i="4"/>
  <c r="G12" i="4"/>
  <c r="G4" i="4"/>
  <c r="L2" i="7"/>
  <c r="C3" i="4"/>
  <c r="C4" i="4"/>
  <c r="C5" i="4"/>
  <c r="C6" i="4"/>
  <c r="C7" i="4"/>
  <c r="C8" i="4"/>
  <c r="C9" i="4"/>
  <c r="C10" i="4"/>
  <c r="C11" i="4"/>
  <c r="C12" i="4"/>
  <c r="C13" i="4"/>
  <c r="C14" i="4"/>
  <c r="C15" i="4"/>
  <c r="C16" i="4"/>
  <c r="C17" i="4"/>
  <c r="C18" i="4"/>
  <c r="C19" i="4"/>
  <c r="C2" i="4"/>
  <c r="B3" i="4"/>
  <c r="B4" i="4"/>
  <c r="B5" i="4"/>
  <c r="B6" i="4"/>
  <c r="B7" i="4"/>
  <c r="B8" i="4"/>
  <c r="B9" i="4"/>
  <c r="B10" i="4"/>
  <c r="B11" i="4"/>
  <c r="B12" i="4"/>
  <c r="B13" i="4"/>
  <c r="B14" i="4"/>
  <c r="B15" i="4"/>
  <c r="B16" i="4"/>
  <c r="B17" i="4"/>
  <c r="B18" i="4"/>
  <c r="B19" i="4"/>
  <c r="B2" i="4"/>
  <c r="Q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06F8E2-9E13-4658-85DC-01FDC94EF26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E154B58-C5F2-480B-8C00-4212DA6DEC86}" name="WorksheetConnection_Sales3.0.xlsm!TableE" type="102" refreshedVersion="8" minRefreshableVersion="5">
    <extLst>
      <ext xmlns:x15="http://schemas.microsoft.com/office/spreadsheetml/2010/11/main" uri="{DE250136-89BD-433C-8126-D09CA5730AF9}">
        <x15:connection id="TableE">
          <x15:rangePr sourceName="_xlcn.WorksheetConnection_Sales3.0.xlsmTableE1"/>
        </x15:connection>
      </ext>
    </extLst>
  </connection>
  <connection id="3" xr16:uid="{8E0389B5-0CE7-41DD-8EFB-5EC885358355}" name="WorksheetConnection_Sales3.0.xlsm!TableI" type="102" refreshedVersion="8" minRefreshableVersion="5">
    <extLst>
      <ext xmlns:x15="http://schemas.microsoft.com/office/spreadsheetml/2010/11/main" uri="{DE250136-89BD-433C-8126-D09CA5730AF9}">
        <x15:connection id="TableI">
          <x15:rangePr sourceName="_xlcn.WorksheetConnection_Sales3.0.xlsmTableI1"/>
        </x15:connection>
      </ext>
    </extLst>
  </connection>
  <connection id="4" xr16:uid="{20D9C49E-31F7-4EE7-999B-263D753F8972}" name="WorksheetConnection_Sales3.0.xlsm!TableP" type="102" refreshedVersion="8" minRefreshableVersion="5">
    <extLst>
      <ext xmlns:x15="http://schemas.microsoft.com/office/spreadsheetml/2010/11/main" uri="{DE250136-89BD-433C-8126-D09CA5730AF9}">
        <x15:connection id="TableP">
          <x15:rangePr sourceName="_xlcn.WorksheetConnection_Sales3.0.xlsmTableP1"/>
        </x15:connection>
      </ext>
    </extLst>
  </connection>
  <connection id="5" xr16:uid="{FB38A7BA-1DB3-48E7-8AD2-17B990519CBE}" name="WorksheetConnection_Sales3.0.xlsm!TableS" type="102" refreshedVersion="8" minRefreshableVersion="5">
    <extLst>
      <ext xmlns:x15="http://schemas.microsoft.com/office/spreadsheetml/2010/11/main" uri="{DE250136-89BD-433C-8126-D09CA5730AF9}">
        <x15:connection id="TableS">
          <x15:rangePr sourceName="_xlcn.WorksheetConnection_Sales3.0.xlsmTableS1"/>
        </x15:connection>
      </ext>
    </extLst>
  </connection>
</connections>
</file>

<file path=xl/sharedStrings.xml><?xml version="1.0" encoding="utf-8"?>
<sst xmlns="http://schemas.openxmlformats.org/spreadsheetml/2006/main" count="441" uniqueCount="186">
  <si>
    <t>OrderID</t>
  </si>
  <si>
    <t>SKU2</t>
  </si>
  <si>
    <t>Date</t>
  </si>
  <si>
    <t>Product</t>
  </si>
  <si>
    <t>Link</t>
  </si>
  <si>
    <t>CostPrice</t>
  </si>
  <si>
    <t>LastPrice</t>
  </si>
  <si>
    <t>Delivery</t>
  </si>
  <si>
    <t>SoldBy</t>
  </si>
  <si>
    <t>Supplier</t>
  </si>
  <si>
    <t>LAPTOP01</t>
  </si>
  <si>
    <t>EYY 16" Laptop Computer Intel Core i5 Processor, Win 11 Pro Laptop 16GB RAM 512GB SSD, 1920 x 1200 FHD 16:10 Display, Office Suite Notebook with Backlit Keyboard, Student Business Work Laptops</t>
  </si>
  <si>
    <t>amazon.com/EYY-16-Laptop-Computer-Processor/dp/B0F53V8WR5/ref=sr_1_3?crid=1N8613JPYIKD2&amp;dib=eyJ2IjoiMSJ9.ZhGmIZr7oXnma6fsnRWTpqMrGJblYqmoBLJMe98QeQ9TClV4L2AbmZYAeQsXdf-jMgGq0XhOvRi841K1jn7NXfYuG35_o4JCXgILyeoxsb-anwyvG64zzuaOWJNDmOfAty6FuuenL406NiiAQGesEinQTQ8xtgydzuQFDEA4ybYcGM2I-mcwTJ3W_kNmZspwb9y5eeyB0ktVIjAresUB2mGa5xTokAFERqj3jAqrNyca-QVd6Fs71l4P8egOjd0lCQdGFImuoms865BmV5SeznYE7qv8Lzif4BH5kGpfmik.mweUzw1gn9NZFefd9rTu7y4ISaO_me6PHtKxVqwvZIE&amp;dib_tag=se&amp;keywords=EYY+16"+Laptop+Computer+Intel+Core+i5+Processor%2C+Win+11+Pro+Laptop+16GB+RAM+512GB+SSD%2C+1920+x+1200+FHD+16%3A10+Display%2C+Office+Suite+Notebook+with+Backlit+Keyboard%2C+Student+Business+Work+Laptops&amp;nsdOptOutParam=true&amp;qid=1772214347&amp;s=electronics&amp;sprefix=eyy+16+laptop+computer+intel+core+i5+processor%2C+win+11+pro+laptop+16gb+ram+512gb+ssd%2C+1920+x+1200+fhd+16+10+display%2C+office+suite+notebook+with+backlit+keyboard%2C+student+business+work+laptops%2Celectronics%2C317&amp;sr=1-3</t>
  </si>
  <si>
    <t>EYY Official</t>
  </si>
  <si>
    <t>Amazon</t>
  </si>
  <si>
    <t>CPU01</t>
  </si>
  <si>
    <t>AMD Ryzen 7 7800X3D 8-Core, 16-Thread Desktop Processor</t>
  </si>
  <si>
    <t>amazon.com/AMD-7700X-16-Thread-Unlocked-Processor/dp/B0BBHHT8LY/ref=sr_1_3?crid=3D8S4S9A6MWXT&amp;dib=eyJ2IjoiMSJ9.2Y6U30Ota4udzXAMcBoddbvOJdnr-cqlWL8hkA0dH2dpm45LJNN7XVnvrhtUjqO5gIKGNI2B1z8IK1H70IqjkSGSz1egfg9aXtfwF9ifZqS3-ykt-XVO6m2fyXHCFW0eQhYi_e4T7Zpfa7sOkIvJZMLD0zJ1kgV1R9RM3YiYxQ6btIB-ogkWiEdNRW5oKqk3cqbfdKHrUoZbSgmIzPyNFibJkuZNMznzCX3T24ZDD_GuSut_W8uyiwEjtZgCR8-UQlB2rv0UGk6HWbyDEUMolu_NQs-cghrZN0SOilVESes.AlSsKXEuf4TzlSRwZYKly4IF2HxdX3zEeL4pJApM7Iw&amp;dib_tag=se&amp;keywords=AMD+Ryzen+7+7800X3D+8-Core%2C+16-Thread+Desktop+Processor&amp;nsdOptOutParam=true&amp;qid=1772214424&amp;s=electronics&amp;sprefix=amd+ryzen+7+7800x3d+8-core%2C+16-thread+desktop+processor%2Celectronics%2C348&amp;sr=1-3</t>
  </si>
  <si>
    <t>AMD Store</t>
  </si>
  <si>
    <t>AMD Ryzen™ 7 5800XT 8-Core, 16-Thread Unlocked Desktop Processor</t>
  </si>
  <si>
    <t>amazon.com/AMD-RyzenTM-5800XT-16-Thread-Processor/dp/B0D6NNDQ92/ref=sr_1_1?crid=3BIFVEGD3IPBH&amp;dib=eyJ2IjoiMSJ9.boc-kpOwnqefKsqzbY5v_NhIdx8iWx-neNCydFupIBM_Wx0C5cicK6iI5iuHan2XcBm_JCpi0Q-qPZxSZw6I8g6F3kYmAfh48SskM3VOM0b3Ua8KvZl5BGciP6XeJllEDhrGklYlMa3hKlviD7NTyPOd6_QHf0_v-NuRVCsCAdSk1RCdpZhKBQUyf3c-A7rpGmjzdhhTywsyyPGYfMx8scnGB188zTXss66Ciz_jgKuZK8av8d0VUCkcPN_UGa7iLw8X7wq3hyb3SEpeWOp-nynT53HAdju5zzCV5L4oOCI.tMjMlHlMIAJ2saSs-d8kmlZa8K1K6YzZul_DHhpoPAY&amp;dib_tag=se&amp;keywords=AMD+Ryzen%E2%84%A2+7+5800XT+8-Core%2C+16-Thread+Unlocked+Desktop+Processor&amp;nsdOptOutParam=true&amp;qid=1772214504&amp;s=electronics&amp;sprefix=amd+ryzen+7+5800xt+8-core%2C+16-thread+unlocked+desktop+processor%2Celectronics%2C434&amp;sr=1-1</t>
  </si>
  <si>
    <t>TheTechGroup</t>
  </si>
  <si>
    <t>CASE01</t>
  </si>
  <si>
    <t>F300 (2025) PC Case - Pre-Installed 4 No RGB Fan, ATX Mid-Tower Gaming PC Case, 270° Panoramic Glass with Type-C, FOIFKIN (Black)</t>
  </si>
  <si>
    <t>amazon.com/FOIFKIN-F300-Case-Pre-Installed-Mid-Tower/dp/B0DFWVJ8B2/ref=sxin_17_pa_sp_search_thematic_sspa?content-id=amzn1.sym.0e63c542-6545-4d26-a66a-b8a3e11008ab%3Aamzn1.sym.0e63c542-6545-4d26-a66a-b8a3e11008ab&amp;crid=1CCKRYFQVBLKT&amp;cv_ct_cx=case&amp;keywords=case&amp;pd_rd_i=B0DFWVJ8B2&amp;pd_rd_r=000c1c4c-3e4e-45f7-a064-06c2613f6f6e&amp;pd_rd_w=3ovs9&amp;pd_rd_wg=eOiOq&amp;pf_rd_p=0e63c542-6545-4d26-a66a-b8a3e11008ab&amp;pf_rd_r=R5CPZHX8CRBG9ZQR6FTT&amp;qid=1772222663&amp;s=electronics&amp;sbo=RZvfv%2F%2FHxDF%2BO5021pAnSA%3D%3D&amp;sprefix=c%2Celectronics%2C286&amp;sr=1-3-9dc94291-be46-4d4b-806d-52c7d80051d3-spons&amp;aref=DB611RDhl6&amp;sp_csd=d2lkZ2V0TmFtZT1zcF9zZWFyY2hfdGhlbWF0aWM&amp;th=1</t>
  </si>
  <si>
    <t>FOIFKIN</t>
  </si>
  <si>
    <t>darkFlash ATX Mid-Tower PC Case, Pre-Install 4 PWM ARGB Fans Computer Case, Full View Dual Tempered Glass Gaming PC Case, Type C Port, Supports up to 360mm Water Cooling Radiator, Black(DS900)</t>
  </si>
  <si>
    <t>amazon.com/darkFlash-Mid-Tower-Pre-Install-Computer-DS900/dp/B0CQJGG4JT/ref=sxin_17_pa_sp_search_thematic_sspa?content-id=amzn1.sym.0e63c542-6545-4d26-a66a-b8a3e11008ab%3Aamzn1.sym.0e63c542-6545-4d26-a66a-b8a3e11008ab&amp;crid=1CCKRYFQVBLKT&amp;cv_ct_cx=case&amp;keywords=case&amp;pd_rd_i=B0CQJGG4JT&amp;pd_rd_r=000c1c4c-3e4e-45f7-a064-06c2613f6f6e&amp;pd_rd_w=3ovs9&amp;pd_rd_wg=eOiOq&amp;pf_rd_p=0e63c542-6545-4d26-a66a-b8a3e11008ab&amp;pf_rd_r=R5CPZHX8CRBG9ZQR6FTT&amp;qid=1772222663&amp;s=electronics&amp;sbo=RZvfv%2F%2FHxDF%2BO5021pAnSA%3D%3D&amp;sprefix=c%2Celectronics%2C286&amp;sr=1-1-9dc94291-be46-4d4b-806d-52c7d80051d3-spons&amp;aref=Ruw4t96Gn9&amp;sp_csd=d2lkZ2V0TmFtZT1zcF9zZWFyY2hfdGhlbWF0aWM&amp;th=1</t>
  </si>
  <si>
    <t>Hestia Delight</t>
  </si>
  <si>
    <t>NZXT H5 Flow 2024 - Compact ATX Mid-Tower PC Gaming Case - High Airflow - 2 x 120mm Fans Included - 360mm Front &amp; 240mm Top Radiator Support - Cable Management System - Tempered Glass - Black</t>
  </si>
  <si>
    <t>amazon.com/NZXT-Flow-2024-Mid-Tower-Management/dp/B0D2MK6NML/ref=sr_1_7?crid=1CCKRYFQVBLKT&amp;dib=eyJ2IjoiMSJ9.TAo3IO3C-d4YsXedTKADbq6hilRJZ5ZWQ1neQslU4BqgAf3f0ETpyDyPdB_flk71-Ayyei3Z3RnslPdfHVw6C97YWSnK4yLzEfy6aNqe40MwyKeEN9J2H16f_A2ONE57duBSW7zdyy_4XH6II1za1BOFy9Pg66ri__rSn6ywb_vyqoOr6EYz-zjhd2c2R37tyj_M7xM7wGC1C1pc5YQsMe7QqM6_QDrslpgwwcRqxvzLMYCrsTuERXrT3uRQ45OVMdCaUykh5TT9Mm2jlJy7zMYehgncUuln0efh5iX5Ijs.1Qm0HoTOLF4fseA4pf1thA2r6p3h79zHUPbrd_f4TLk&amp;dib_tag=se&amp;keywords=case&amp;qid=1772222663&amp;s=electronics&amp;sprefix=c%2Celectronics%2C286&amp;sr=1-7&amp;th=1</t>
  </si>
  <si>
    <t>Amazon.com</t>
  </si>
  <si>
    <t>GPU01</t>
  </si>
  <si>
    <t>Sapphire 11339-04-20G Pulse AMD Radeon RX 7600 XT Gaming Graphics Card with 16GB GDDR6, AMD RDNA 3</t>
  </si>
  <si>
    <t>amazon.com/Sapphire-11339-04-20G-RADEON-Gaming-Graphics/dp/B0CTD21LW1</t>
  </si>
  <si>
    <t>OneDealOutlet Online</t>
  </si>
  <si>
    <t>maxsun Graphics Card GeForce RTX 3060 Ti OC Edtion 8G Vidoe Gaming Computer Graphics Cards for Copmputer Gaming PC PCI Express 4.0 x16 HDMI 2.1 GPU (GDDR6 8G)</t>
  </si>
  <si>
    <t>amazon.com/maxsun-Graphics-GeForce-Computer-Copmputer/dp/B0F2MFC26C?th=1</t>
  </si>
  <si>
    <t>MAXSUN Official Store</t>
  </si>
  <si>
    <t>ASUS ROG Strix G16 (2025) Gaming Laptop, 16” FHD+ 16:10 165Hz/3ms Display, NVIDIA® GeForce RTX™ 5060 Laptop GPU, Intel® Core™ i7 Processor 14650HX, 16GB DDR5, 1TB Gen 4 SSD, Wi-Fi 7, Windows 11 Home</t>
  </si>
  <si>
    <t>amazon.com/ASUS-ROG-Strix-Gaming-Laptop/dp/B0DZZWMB2L?th=1</t>
  </si>
  <si>
    <t>RAM01</t>
  </si>
  <si>
    <t>CORSAIR Vengeance LPX DDR4 RAM 32GB (2x16GB) 3200MHz CL16-20-20-38 1.35V Intel AMD Desktop Computer Memory - Black (CMK32GX4M2E3200C16)</t>
  </si>
  <si>
    <t>amazon.com/Corsair-VENGEANCE-3200MHz-Compatible-Computer/dp/B07RW6Z692/ref=sr_1_4?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-4</t>
  </si>
  <si>
    <t>CORSAIR Vengence RGB DDR5 RAM 32GB (2x16GB) 6000MHz CL36-44-44-96 1.35V Intel XMP 3.0 Computer Memory – Black (CMH32GX5M2E6000C36)</t>
  </si>
  <si>
    <t>amazon.com/CORSAIR-VENGEANCE-6000MHz-Compatible-Computer/dp/B0BZHTVHN5/ref=sr_1_6?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-6&amp;th=1</t>
  </si>
  <si>
    <t>MONITOR01</t>
  </si>
  <si>
    <t>SANSUI 32 Inch Curved 240Hz Gaming Monitor High Refresh Rate, FHD 1080P Gaming PC Monitor HDMI DP1.4, Curved 1500R, 1Ms MPRT, HDR,Metal Stand,VESA Compatible(DP Cable Incl.)</t>
  </si>
  <si>
    <t>amazon.com/SANSUI-Monitor-Compatible-ES-G32C3F-Included/dp/B0DD7GPXFH/ref=sxin_17_pa_sp_search_thematic_sspa?content-id=amzn1.sym.218067fd-b344-4093-ab6c-6f5555bf2ed6%3Aamzn1.sym.218067fd-b344-4093-ab6c-6f5555bf2ed6&amp;crid=38ECJ5KCQW262&amp;cv_ct_cx=monitor&amp;keywords=monitor&amp;pd_rd_i=B0DD7GPXFH&amp;pd_rd_r=a2ee0c35-109b-43f5-931b-eba1a3724a25&amp;pd_rd_w=uYfH2&amp;pd_rd_wg=TFteA&amp;pf_rd_p=218067fd-b344-4093-ab6c-6f5555bf2ed6&amp;pf_rd_r=Y9NW7Y5EJ3R20A421ZDA&amp;qid=1772228658&amp;s=electronics&amp;sbo=RZvfv%2F%2FHxDF%2BO5021pAnSA%3D%3D&amp;sprefix=monit%2Celectronics%2C327&amp;sr=1-1-82c53dfb-e7ac-41f3-9604-355dc7747827-spons&amp;aref=nSYEz07zEG&amp;sp_csd=d2lkZ2V0TmFtZT1zcF9zZWFyY2hfdGhlbWF0aWM&amp;th=1</t>
  </si>
  <si>
    <t>SANSUI MONITOR</t>
  </si>
  <si>
    <t>ArcticPro 27inch 240Hz Curved Gaming Monitor, FHD 1080p, 1ms Response Time, 4000:1 Contrast, PC Monitor, Adaptive sync, 3-Sided Frameless, Ultra Slim, 120% sRGB, Bluelight Filter,HDMI &amp; DP Ports,Black</t>
  </si>
  <si>
    <t>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t>
  </si>
  <si>
    <t>Yulian Tech</t>
  </si>
  <si>
    <t>Dell 27 Plus 4K Monitor - S2725QS - 27-inch 4K (3840 x 2160) 120Hz 16:9 Display, IPS Panel, AMD FreeSync Premium, sRGB 99%, Integrated Speakers, 1500:1 Contrast Ratio, Comfortview - Ash White</t>
  </si>
  <si>
    <t>G.SKILL Trident Z5 Royal Neo Series DDR5 RAM (AMD EXPO) 32GB (2x16GB) 6000MT/s CL28-36-36-96 1.40V Desktop Computer Memory U-DIMM - Silver (F5-6000J2836G16GX2-TR5NS)</t>
  </si>
  <si>
    <t>amazon.com/G-SKILL-Trident-CL28-36-36-96-Desktop-Computer/dp/B0DD2LKVMD/ref=sr_1_14?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-14&amp;th=1</t>
  </si>
  <si>
    <t>RACERSPEED INC.</t>
  </si>
  <si>
    <t>Crucial Pro 32GB DDR5 RAM Kit (2x16GB),CL36 6000MHz, Overclocking Desktop Gaming Memory, Intel XMP 3.0 &amp; AMD Expo Compatible, Black - CP2K16G60C36U5B</t>
  </si>
  <si>
    <t>amazon.com/Crucial-6000MHz-Overclocking-Desktop-Compatible/dp/B0CTHXMYL8/ref=sr_1_16?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-16</t>
  </si>
  <si>
    <t>Micom Pro</t>
  </si>
  <si>
    <t>G.SKILL Trident Z RGB Series DDR4 RAM (XMP) 32GB (2x16GB) 3600MT/s CL18-22-22-42 1.35V Intel AMD Desktop Computer Memory U-DIMM (F4-3600C18D-32GTZR)</t>
  </si>
  <si>
    <t>amazon.com/G-Skill-Trident-PC4-28800-CL18-22-22-42-F4-3600C18D-32GTZR/dp/B08176KLZT/ref=sr_1_20?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-20&amp;th=1</t>
  </si>
  <si>
    <t>Apple 2025 MacBook Air 13-inch Laptop with M4 chip: Built for Apple Intelligence, 13.6-inch Liquid Retina Display, 16GB Unified Memory, 256GB SSD Storage, 12MP Center Stage Camera, Touch ID; Midnight</t>
  </si>
  <si>
    <t>amazon.com/Apple-2025-MacBook-13-inch-Laptop/dp/B0DZD9S5GC/ref=sxin_28_sbv_search_btf?content-id=amzn1.sym.c8b39f81-ded8-4d75-80c2-6dfa03cbb699%3Aamzn1.sym.c8b39f81-ded8-4d75-80c2-6dfa03cbb699&amp;crid=KOBX4NV5G5CZ&amp;cv_ct_cx=laptop&amp;keywords=laptop&amp;pd_rd_i=B0DZD9S5GC&amp;pd_rd_r=7016e201-ada9-40ef-8841-3b99435278bd&amp;pd_rd_w=8sBx0&amp;pd_rd_wg=DhyNO&amp;pf_rd_p=c8b39f81-ded8-4d75-80c2-6dfa03cbb699&amp;pf_rd_r=YY4HY0STAWJPMRKX1WQK&amp;qid=1772572281&amp;s=electronics&amp;sbo=RZvfv%2F%2FHxDF%2BO5021pAnSA%3D%3D&amp;sprefix=lap%2Celectronics%2C325&amp;sr=1-1-5190daf0-67e3-427c-bea6-c72c1df98776&amp;th=1</t>
  </si>
  <si>
    <t>Platform</t>
  </si>
  <si>
    <t>CustomerName</t>
  </si>
  <si>
    <t>SKU</t>
  </si>
  <si>
    <t>PaymentMethod</t>
  </si>
  <si>
    <t>PriceSale</t>
  </si>
  <si>
    <t>Facebook</t>
  </si>
  <si>
    <t>John S.</t>
  </si>
  <si>
    <t>Online Transfer</t>
  </si>
  <si>
    <t>Whatsapp</t>
  </si>
  <si>
    <t>Instagram</t>
  </si>
  <si>
    <t>Purchased</t>
  </si>
  <si>
    <t>Sold</t>
  </si>
  <si>
    <t>Profit</t>
  </si>
  <si>
    <t>Status</t>
  </si>
  <si>
    <t>ExpenseIDEx</t>
  </si>
  <si>
    <t>DateEx</t>
  </si>
  <si>
    <t>CategoryEx</t>
  </si>
  <si>
    <t>DescriptionEx</t>
  </si>
  <si>
    <t>AmountEx</t>
  </si>
  <si>
    <t>PaymentMethodEx</t>
  </si>
  <si>
    <t>EXP-0001</t>
  </si>
  <si>
    <t>Packaging</t>
  </si>
  <si>
    <t>Boxes (medium size) for CPUs and GPUs</t>
  </si>
  <si>
    <t>Cash</t>
  </si>
  <si>
    <t>EXP-0002</t>
  </si>
  <si>
    <t>Anti-static bags (pack of 20)</t>
  </si>
  <si>
    <t>EXP-0003</t>
  </si>
  <si>
    <t>Supplies</t>
  </si>
  <si>
    <t>Isopropyl alcohol for cleaning components</t>
  </si>
  <si>
    <t>EXP-0004</t>
  </si>
  <si>
    <t>Tools</t>
  </si>
  <si>
    <t>Screwdriver set for assembly/testing</t>
  </si>
  <si>
    <t>EXP-0005</t>
  </si>
  <si>
    <t>Bubble wrap roll for GPUs and monitors</t>
  </si>
  <si>
    <t>EXP-0006</t>
  </si>
  <si>
    <t>Packing tape (2 units)</t>
  </si>
  <si>
    <t>EXP-0007</t>
  </si>
  <si>
    <t>Cleaning cloths (microfiber)</t>
  </si>
  <si>
    <t>EXP-0008</t>
  </si>
  <si>
    <t>Transport</t>
  </si>
  <si>
    <t>Courier to bring anti-static bags</t>
  </si>
  <si>
    <t>EXP-0009</t>
  </si>
  <si>
    <t>Thermal paste for CPU testing</t>
  </si>
  <si>
    <t>EXP-0010</t>
  </si>
  <si>
    <t>Labels for product identification</t>
  </si>
  <si>
    <t>EXP-0011</t>
  </si>
  <si>
    <t>Brush set for dust cleaning</t>
  </si>
  <si>
    <t>EXP-0012</t>
  </si>
  <si>
    <t>Small boxes (pack of 5) for mice and RAM</t>
  </si>
  <si>
    <t>EXP-0013</t>
  </si>
  <si>
    <t>General cleaning materials</t>
  </si>
  <si>
    <t>EXP-0014</t>
  </si>
  <si>
    <t>Anti-static bags (restock)</t>
  </si>
  <si>
    <t>EXP-0015</t>
  </si>
  <si>
    <t>Courier to bring keyboards and monitors</t>
  </si>
  <si>
    <t>EXP-0016</t>
  </si>
  <si>
    <t>Bubble wrap refill</t>
  </si>
  <si>
    <t>EXP-0017</t>
  </si>
  <si>
    <t>Alcohol + cloths combo (extra)</t>
  </si>
  <si>
    <t>EXP-0018</t>
  </si>
  <si>
    <t>Cutter for packaging</t>
  </si>
  <si>
    <t>EXP-0019</t>
  </si>
  <si>
    <t>Delivery fee for order 1</t>
  </si>
  <si>
    <t>EXP-0020</t>
  </si>
  <si>
    <t>Delivery fee for order 2</t>
  </si>
  <si>
    <t>EXP-0021</t>
  </si>
  <si>
    <t>Delivery fee for order 3</t>
  </si>
  <si>
    <t>EXP-0022</t>
  </si>
  <si>
    <t>Delivery fee for order 4</t>
  </si>
  <si>
    <t>EXP-0023</t>
  </si>
  <si>
    <t>Delivery fee for order 5</t>
  </si>
  <si>
    <t>EXP-0024</t>
  </si>
  <si>
    <t>Delivery fee for order 6</t>
  </si>
  <si>
    <t>EXP-0025</t>
  </si>
  <si>
    <t>Delivery fee for order 7</t>
  </si>
  <si>
    <t>EXP-0026</t>
  </si>
  <si>
    <t>Delivery fee for order 8</t>
  </si>
  <si>
    <t>EXP-0027</t>
  </si>
  <si>
    <t>Delivery fee for order 9</t>
  </si>
  <si>
    <t>EXP-0028</t>
  </si>
  <si>
    <t>Delivery fee for order 10</t>
  </si>
  <si>
    <t>EXP-0029</t>
  </si>
  <si>
    <t>Delivery fee for order 11</t>
  </si>
  <si>
    <t>:</t>
  </si>
  <si>
    <t>SKUDV</t>
  </si>
  <si>
    <t xml:space="preserve"> </t>
  </si>
  <si>
    <t>PURCHASE</t>
  </si>
  <si>
    <t>SALES</t>
  </si>
  <si>
    <t>Website</t>
  </si>
  <si>
    <t>PaymentMethodDV</t>
  </si>
  <si>
    <t>PlatformDV</t>
  </si>
  <si>
    <t>Maria C.</t>
  </si>
  <si>
    <t>Karen K.</t>
  </si>
  <si>
    <t>Jose C.</t>
  </si>
  <si>
    <t>Jesus C.</t>
  </si>
  <si>
    <t>Pedro P.</t>
  </si>
  <si>
    <t>Pablo P.</t>
  </si>
  <si>
    <t>Ismael N.</t>
  </si>
  <si>
    <t>Lot S.</t>
  </si>
  <si>
    <t>Maria M.</t>
  </si>
  <si>
    <t>Ben H.</t>
  </si>
  <si>
    <t>Mesala C.</t>
  </si>
  <si>
    <t>Sum of Sold</t>
  </si>
  <si>
    <t>Sum of Purchased</t>
  </si>
  <si>
    <t>Sum of AmountEx</t>
  </si>
  <si>
    <t>Sum of CostPrice</t>
  </si>
  <si>
    <t>Count of OrderID</t>
  </si>
  <si>
    <t>Net Profit</t>
  </si>
  <si>
    <t>Average Ticket Price</t>
  </si>
  <si>
    <t>Row Labels</t>
  </si>
  <si>
    <t>Grand Total</t>
  </si>
  <si>
    <t>Sum of PriceSale</t>
  </si>
  <si>
    <t>Sum of Profit</t>
  </si>
  <si>
    <t>(All)</t>
  </si>
  <si>
    <t>Column Labels</t>
  </si>
  <si>
    <t>POWER01</t>
  </si>
  <si>
    <t>MSI MAG A850GL PCIE5, Fully Modular Compact Gaming 850W Power Supply, 80+ Gold, ATX 3.1 &amp; PCIe 5.1 Ready, Native Dual-Color 12V-2x6 Cable, 10 Year Warranty</t>
  </si>
  <si>
    <t>amazon.com/A850GL-Modular-Compact-Dual-Color-Warranty/dp/B0CB9MSJ5N/ref=sr_1_1?crid=V02CXE668QFO&amp;dib=eyJ2IjoiMSJ9.DdkQ438xKw7_JEDOAuPQ-w.ATRZOdyzMQmyfsL7kdciszMR5n1gGt8qJhvegm3gucw&amp;dib_tag=se&amp;keywords=fuente%2Bdepoder&amp;qid=1772764524&amp;s=electronics&amp;sprefix=fuente%2Bdepo%2Celectronics%2C341&amp;sr=1-1&amp;th=1</t>
  </si>
  <si>
    <t>Sam S.</t>
  </si>
  <si>
    <t>EXP-0030</t>
  </si>
  <si>
    <t>Delivery fee for order 16</t>
  </si>
  <si>
    <t>DASHBOARD SOLOSELL MINI ERP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</si>
</sst>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8" x14ac:knownFonts="1">
    <font>
      <sz val="11"/>
      <color theme="1"/>
      <name val="Calibri"/>
      <family val="2"/>
      <scheme val="minor"/>
    </font>
    <font>
      <b/>
      <sz val="11"/>
      <color theme="0"/>
      <name val="Calibri"/>
      <family val="2"/>
      <scheme val="minor"/>
    </font>
    <font>
      <sz val="11"/>
      <color theme="0"/>
      <name val="Calibri"/>
      <family val="2"/>
      <scheme val="minor"/>
    </font>
    <font>
      <sz val="36"/>
      <color theme="1"/>
      <name val="Calibri"/>
      <family val="2"/>
      <scheme val="minor"/>
    </font>
    <font>
      <sz val="36"/>
      <color theme="0"/>
      <name val="Calibri"/>
      <family val="2"/>
      <scheme val="minor"/>
    </font>
    <font>
      <b/>
      <sz val="36"/>
      <color theme="0"/>
      <name val="Calibri"/>
      <family val="2"/>
      <scheme val="minor"/>
    </font>
    <font>
      <b/>
      <sz val="15"/>
      <color theme="3"/>
      <name val="Calibri"/>
      <family val="2"/>
      <scheme val="minor"/>
    </font>
    <font>
      <b/>
      <sz val="26"/>
      <color theme="0"/>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0" tint="-0.34998626667073579"/>
        <bgColor indexed="64"/>
      </patternFill>
    </fill>
    <fill>
      <patternFill patternType="solid">
        <fgColor theme="4"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bottom style="thick">
        <color theme="4"/>
      </bottom>
      <diagonal/>
    </border>
  </borders>
  <cellStyleXfs count="2">
    <xf numFmtId="0" fontId="0" fillId="0" borderId="0"/>
    <xf numFmtId="0" fontId="6" fillId="0" borderId="3" applyNumberFormat="0" applyFill="0" applyAlignment="0" applyProtection="0"/>
  </cellStyleXfs>
  <cellXfs count="24">
    <xf numFmtId="0" fontId="0" fillId="0" borderId="0" xfId="0"/>
    <xf numFmtId="14" fontId="0" fillId="0" borderId="0" xfId="0" applyNumberFormat="1"/>
    <xf numFmtId="164" fontId="0" fillId="0" borderId="0" xfId="0" applyNumberFormat="1"/>
    <xf numFmtId="0" fontId="3" fillId="0" borderId="0" xfId="0" applyFont="1"/>
    <xf numFmtId="14" fontId="0" fillId="0" borderId="1" xfId="0" applyNumberFormat="1" applyBorder="1"/>
    <xf numFmtId="0" fontId="0" fillId="0" borderId="1" xfId="0" applyBorder="1"/>
    <xf numFmtId="164" fontId="0" fillId="0" borderId="1" xfId="0" applyNumberFormat="1" applyBorder="1"/>
    <xf numFmtId="0" fontId="0" fillId="3" borderId="2" xfId="0" applyFill="1" applyBorder="1"/>
    <xf numFmtId="0" fontId="1" fillId="2" borderId="0" xfId="0" applyFont="1" applyFill="1"/>
    <xf numFmtId="0" fontId="0" fillId="0" borderId="2" xfId="0" applyBorder="1"/>
    <xf numFmtId="0" fontId="2" fillId="4" borderId="0" xfId="0" applyFont="1" applyFill="1"/>
    <xf numFmtId="0" fontId="1" fillId="5" borderId="0" xfId="0" applyFont="1" applyFill="1"/>
    <xf numFmtId="0" fontId="0" fillId="0" borderId="0" xfId="0" pivotButton="1"/>
    <xf numFmtId="0" fontId="0" fillId="0" borderId="0" xfId="0" applyAlignment="1">
      <alignment horizontal="left"/>
    </xf>
    <xf numFmtId="14" fontId="0" fillId="0" borderId="0" xfId="0" applyNumberFormat="1" applyAlignment="1">
      <alignment horizontal="left"/>
    </xf>
    <xf numFmtId="14" fontId="0" fillId="0" borderId="0" xfId="0" applyNumberFormat="1" applyAlignment="1">
      <alignment horizontal="right"/>
    </xf>
    <xf numFmtId="44" fontId="0" fillId="0" borderId="0" xfId="0" applyNumberFormat="1"/>
    <xf numFmtId="0" fontId="5" fillId="5" borderId="0" xfId="0" applyFont="1" applyFill="1" applyAlignment="1">
      <alignment horizontal="center"/>
    </xf>
    <xf numFmtId="0" fontId="4" fillId="4" borderId="0" xfId="0" applyFont="1" applyFill="1" applyAlignment="1">
      <alignment horizontal="center"/>
    </xf>
    <xf numFmtId="0" fontId="7" fillId="6" borderId="3" xfId="1" applyFont="1" applyFill="1" applyAlignment="1">
      <alignment horizontal="center" vertical="center"/>
    </xf>
    <xf numFmtId="0" fontId="0" fillId="0" borderId="0" xfId="0" applyBorder="1"/>
    <xf numFmtId="164" fontId="0" fillId="0" borderId="0" xfId="0" applyNumberFormat="1" applyBorder="1"/>
    <xf numFmtId="14" fontId="0" fillId="0" borderId="0" xfId="0" applyNumberFormat="1" applyBorder="1"/>
    <xf numFmtId="0" fontId="0" fillId="0" borderId="0" xfId="0" applyNumberFormat="1"/>
  </cellXfs>
  <cellStyles count="2">
    <cellStyle name="Heading 1" xfId="1" builtinId="16"/>
    <cellStyle name="Normal" xfId="0" builtinId="0"/>
  </cellStyles>
  <dxfs count="29">
    <dxf>
      <numFmt numFmtId="164" formatCode="&quot;$&quot;#,##0.00"/>
    </dxf>
    <dxf>
      <numFmt numFmtId="164" formatCode="&quot;$&quot;#,##0.00"/>
    </dxf>
    <dxf>
      <numFmt numFmtId="164" formatCode="&quot;$&quot;#,##0.00"/>
    </dxf>
    <dxf>
      <numFmt numFmtId="19" formatCode="m/d/yyyy"/>
    </dxf>
    <dxf>
      <border diagonalUp="0" diagonalDown="0">
        <left/>
        <right/>
        <top/>
        <bottom/>
      </border>
    </dxf>
    <dxf>
      <numFmt numFmtId="0" formatCode="General"/>
    </dxf>
    <dxf>
      <numFmt numFmtId="164" formatCode="&quot;$&quot;#,##0.00"/>
    </dxf>
    <dxf>
      <numFmt numFmtId="164" formatCode="&quot;$&quot;#,##0.00"/>
    </dxf>
    <dxf>
      <numFmt numFmtId="34" formatCode="_(&quot;$&quot;* #,##0.00_);_(&quot;$&quot;* \(#,##0.00\);_(&quot;$&quot;* &quot;-&quot;??_);_(@_)"/>
    </dxf>
    <dxf>
      <numFmt numFmtId="164" formatCode="&quot;$&quot;#,##0.00"/>
    </dxf>
    <dxf>
      <numFmt numFmtId="19" formatCode="m/d/yyyy"/>
    </dxf>
    <dxf>
      <numFmt numFmtId="164" formatCode="&quot;$&quot;#,##0.00"/>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4" formatCode="&quot;$&quot;#,##0.00"/>
    </dxf>
    <dxf>
      <numFmt numFmtId="19" formatCode="m/d/yyyy"/>
    </dxf>
    <dxf>
      <numFmt numFmtId="164" formatCode="&quot;$&quot;#,##0.00"/>
    </dxf>
    <dxf>
      <numFmt numFmtId="164" formatCode="&quot;$&quot;#,##0.00"/>
    </dxf>
    <dxf>
      <numFmt numFmtId="164" formatCode="&quot;$&quot;#,##0.00"/>
    </dxf>
    <dxf>
      <numFmt numFmtId="164" formatCode="&quot;$&quot;#,##0.00"/>
    </dxf>
    <dxf>
      <numFmt numFmtId="19" formatCode="m/d/yyyy"/>
      <alignment horizontal="right"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164" formatCode="&quot;$&quot;#,##0.00"/>
    </dxf>
    <dxf>
      <numFmt numFmtId="164" formatCode="&quot;$&quot;#,##0.00"/>
    </dxf>
    <dxf>
      <numFmt numFmtId="164" formatCode="&quot;$&quot;#,##0.00"/>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1/relationships/timelineCache" Target="timelineCaches/timelineCache1.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3.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11/relationships/timelineCache" Target="timelineCaches/timelineCache2.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Dashboard!$W$1</c:f>
              <c:strCache>
                <c:ptCount val="1"/>
                <c:pt idx="0">
                  <c:v>Total</c:v>
                </c:pt>
              </c:strCache>
            </c:strRef>
          </c:tx>
          <c:spPr>
            <a:solidFill>
              <a:schemeClr val="accent1"/>
            </a:solidFill>
            <a:ln>
              <a:noFill/>
            </a:ln>
            <a:effectLst/>
            <a:sp3d/>
          </c:spPr>
          <c:invertIfNegative val="0"/>
          <c:cat>
            <c:strRef>
              <c:f>Dashboard!$V$2:$V$8</c:f>
              <c:strCache>
                <c:ptCount val="6"/>
                <c:pt idx="0">
                  <c:v>CASE01</c:v>
                </c:pt>
                <c:pt idx="1">
                  <c:v>CPU01</c:v>
                </c:pt>
                <c:pt idx="2">
                  <c:v>GPU01</c:v>
                </c:pt>
                <c:pt idx="3">
                  <c:v>LAPTOP01</c:v>
                </c:pt>
                <c:pt idx="4">
                  <c:v>MONITOR01</c:v>
                </c:pt>
                <c:pt idx="5">
                  <c:v>RAM01</c:v>
                </c:pt>
              </c:strCache>
            </c:strRef>
          </c:cat>
          <c:val>
            <c:numRef>
              <c:f>Dashboard!$W$2:$W$8</c:f>
              <c:numCache>
                <c:formatCode>"$"#,##0.00</c:formatCode>
                <c:ptCount val="6"/>
                <c:pt idx="0">
                  <c:v>390</c:v>
                </c:pt>
                <c:pt idx="1">
                  <c:v>610</c:v>
                </c:pt>
                <c:pt idx="2">
                  <c:v>1200</c:v>
                </c:pt>
                <c:pt idx="3">
                  <c:v>2215</c:v>
                </c:pt>
                <c:pt idx="4">
                  <c:v>260</c:v>
                </c:pt>
                <c:pt idx="5">
                  <c:v>1090</c:v>
                </c:pt>
              </c:numCache>
            </c:numRef>
          </c:val>
          <c:extLst>
            <c:ext xmlns:c16="http://schemas.microsoft.com/office/drawing/2014/chart" uri="{C3380CC4-5D6E-409C-BE32-E72D297353CC}">
              <c16:uniqueId val="{00000000-C61D-4647-BF18-D2060CBCDAD8}"/>
            </c:ext>
          </c:extLst>
        </c:ser>
        <c:dLbls>
          <c:showLegendKey val="0"/>
          <c:showVal val="0"/>
          <c:showCatName val="0"/>
          <c:showSerName val="0"/>
          <c:showPercent val="0"/>
          <c:showBubbleSize val="0"/>
        </c:dLbls>
        <c:gapWidth val="150"/>
        <c:shape val="box"/>
        <c:axId val="1556101039"/>
        <c:axId val="1556101519"/>
        <c:axId val="0"/>
      </c:bar3DChart>
      <c:catAx>
        <c:axId val="1556101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519"/>
        <c:crosses val="autoZero"/>
        <c:auto val="1"/>
        <c:lblAlgn val="ctr"/>
        <c:lblOffset val="100"/>
        <c:noMultiLvlLbl val="0"/>
      </c:catAx>
      <c:valAx>
        <c:axId val="15561015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Dashboard!$AE$1</c:f>
              <c:strCache>
                <c:ptCount val="1"/>
                <c:pt idx="0">
                  <c:v>Total</c:v>
                </c:pt>
              </c:strCache>
            </c:strRef>
          </c:tx>
          <c:spPr>
            <a:solidFill>
              <a:schemeClr val="accent1"/>
            </a:solidFill>
            <a:ln>
              <a:noFill/>
            </a:ln>
            <a:effectLst/>
            <a:sp3d/>
          </c:spPr>
          <c:invertIfNegative val="0"/>
          <c:cat>
            <c:strRef>
              <c:f>Dashboard!$AD$2:$AD$9</c:f>
              <c:strCache>
                <c:ptCount val="7"/>
                <c:pt idx="0">
                  <c:v>CASE01</c:v>
                </c:pt>
                <c:pt idx="1">
                  <c:v>CPU01</c:v>
                </c:pt>
                <c:pt idx="2">
                  <c:v>GPU01</c:v>
                </c:pt>
                <c:pt idx="3">
                  <c:v>LAPTOP01</c:v>
                </c:pt>
                <c:pt idx="4">
                  <c:v>MONITOR01</c:v>
                </c:pt>
                <c:pt idx="5">
                  <c:v>RAM01</c:v>
                </c:pt>
                <c:pt idx="6">
                  <c:v>POWER01</c:v>
                </c:pt>
              </c:strCache>
            </c:strRef>
          </c:cat>
          <c:val>
            <c:numRef>
              <c:f>Dashboard!$AE$2:$AE$9</c:f>
              <c:numCache>
                <c:formatCode>"$"#,##0.00</c:formatCode>
                <c:ptCount val="7"/>
                <c:pt idx="0">
                  <c:v>157.03000000000003</c:v>
                </c:pt>
                <c:pt idx="1">
                  <c:v>155.55000000000001</c:v>
                </c:pt>
                <c:pt idx="2">
                  <c:v>379.75</c:v>
                </c:pt>
                <c:pt idx="3">
                  <c:v>475.02</c:v>
                </c:pt>
                <c:pt idx="4">
                  <c:v>80.009999999999991</c:v>
                </c:pt>
                <c:pt idx="5">
                  <c:v>176.01999999999998</c:v>
                </c:pt>
                <c:pt idx="6">
                  <c:v>0</c:v>
                </c:pt>
              </c:numCache>
            </c:numRef>
          </c:val>
          <c:extLst>
            <c:ext xmlns:c16="http://schemas.microsoft.com/office/drawing/2014/chart" uri="{C3380CC4-5D6E-409C-BE32-E72D297353CC}">
              <c16:uniqueId val="{00000000-D5D5-4EFF-80B1-B954427DD38E}"/>
            </c:ext>
          </c:extLst>
        </c:ser>
        <c:dLbls>
          <c:showLegendKey val="0"/>
          <c:showVal val="0"/>
          <c:showCatName val="0"/>
          <c:showSerName val="0"/>
          <c:showPercent val="0"/>
          <c:showBubbleSize val="0"/>
        </c:dLbls>
        <c:gapWidth val="150"/>
        <c:shape val="box"/>
        <c:axId val="1560874575"/>
        <c:axId val="1560876495"/>
        <c:axId val="0"/>
      </c:bar3DChart>
      <c:catAx>
        <c:axId val="1560874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6495"/>
        <c:crosses val="autoZero"/>
        <c:auto val="1"/>
        <c:lblAlgn val="ctr"/>
        <c:lblOffset val="100"/>
        <c:noMultiLvlLbl val="0"/>
      </c:catAx>
      <c:valAx>
        <c:axId val="15608764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Infomes for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Dashboard!$AL$1</c:f>
              <c:strCache>
                <c:ptCount val="1"/>
                <c:pt idx="0">
                  <c:v>Total</c:v>
                </c:pt>
              </c:strCache>
            </c:strRef>
          </c:tx>
          <c:spPr>
            <a:ln w="28575" cap="rnd">
              <a:solidFill>
                <a:schemeClr val="accent1"/>
              </a:solidFill>
              <a:round/>
            </a:ln>
            <a:effectLst/>
          </c:spPr>
          <c:marker>
            <c:symbol val="none"/>
          </c:marker>
          <c:cat>
            <c:strRef>
              <c:f>Dashboard!$AK$2:$AK$12</c:f>
              <c:strCache>
                <c:ptCount val="10"/>
                <c:pt idx="0">
                  <c:v>1/8/2026</c:v>
                </c:pt>
                <c:pt idx="1">
                  <c:v>1/9/2026</c:v>
                </c:pt>
                <c:pt idx="2">
                  <c:v>1/13/2026</c:v>
                </c:pt>
                <c:pt idx="3">
                  <c:v>1/14/2026</c:v>
                </c:pt>
                <c:pt idx="4">
                  <c:v>1/15/2026</c:v>
                </c:pt>
                <c:pt idx="5">
                  <c:v>1/16/2026</c:v>
                </c:pt>
                <c:pt idx="6">
                  <c:v>1/17/2026</c:v>
                </c:pt>
                <c:pt idx="7">
                  <c:v>1/19/2026</c:v>
                </c:pt>
                <c:pt idx="8">
                  <c:v>1/20/2026</c:v>
                </c:pt>
                <c:pt idx="9">
                  <c:v>3/5/2026</c:v>
                </c:pt>
              </c:strCache>
            </c:strRef>
          </c:cat>
          <c:val>
            <c:numRef>
              <c:f>Dashboard!$AL$2:$AL$12</c:f>
              <c:numCache>
                <c:formatCode>"$"#,##0.00</c:formatCode>
                <c:ptCount val="10"/>
                <c:pt idx="0">
                  <c:v>415</c:v>
                </c:pt>
                <c:pt idx="1">
                  <c:v>300</c:v>
                </c:pt>
                <c:pt idx="2">
                  <c:v>460</c:v>
                </c:pt>
                <c:pt idx="3">
                  <c:v>100</c:v>
                </c:pt>
                <c:pt idx="4">
                  <c:v>400</c:v>
                </c:pt>
                <c:pt idx="5">
                  <c:v>250</c:v>
                </c:pt>
                <c:pt idx="6">
                  <c:v>1940</c:v>
                </c:pt>
                <c:pt idx="7">
                  <c:v>1220</c:v>
                </c:pt>
                <c:pt idx="8">
                  <c:v>260</c:v>
                </c:pt>
                <c:pt idx="9">
                  <c:v>420</c:v>
                </c:pt>
              </c:numCache>
            </c:numRef>
          </c:val>
          <c:smooth val="0"/>
          <c:extLst>
            <c:ext xmlns:c16="http://schemas.microsoft.com/office/drawing/2014/chart" uri="{C3380CC4-5D6E-409C-BE32-E72D297353CC}">
              <c16:uniqueId val="{00000000-E0CD-40B4-8B2C-353FEE7B9DD1}"/>
            </c:ext>
          </c:extLst>
        </c:ser>
        <c:dLbls>
          <c:showLegendKey val="0"/>
          <c:showVal val="0"/>
          <c:showCatName val="0"/>
          <c:showSerName val="0"/>
          <c:showPercent val="0"/>
          <c:showBubbleSize val="0"/>
        </c:dLbls>
        <c:smooth val="0"/>
        <c:axId val="1256849759"/>
        <c:axId val="1256843039"/>
      </c:lineChart>
      <c:catAx>
        <c:axId val="125684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3039"/>
        <c:crosses val="autoZero"/>
        <c:auto val="1"/>
        <c:lblAlgn val="ctr"/>
        <c:lblOffset val="100"/>
        <c:noMultiLvlLbl val="0"/>
      </c:catAx>
      <c:valAx>
        <c:axId val="1256843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a:t>
            </a:r>
            <a:r>
              <a:rPr lang="en-US" baseline="0"/>
              <a:t> for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Dashboard!$AT$1</c:f>
              <c:strCache>
                <c:ptCount val="1"/>
                <c:pt idx="0">
                  <c:v>Total</c:v>
                </c:pt>
              </c:strCache>
            </c:strRef>
          </c:tx>
          <c:spPr>
            <a:solidFill>
              <a:schemeClr val="accent1"/>
            </a:solidFill>
            <a:ln>
              <a:noFill/>
            </a:ln>
            <a:effectLst/>
            <a:sp3d/>
          </c:spPr>
          <c:invertIfNegative val="0"/>
          <c:cat>
            <c:strRef>
              <c:f>Dashboard!$AS$2:$AS$6</c:f>
              <c:strCache>
                <c:ptCount val="4"/>
                <c:pt idx="0">
                  <c:v>Packaging</c:v>
                </c:pt>
                <c:pt idx="1">
                  <c:v>Supplies</c:v>
                </c:pt>
                <c:pt idx="2">
                  <c:v>Tools</c:v>
                </c:pt>
                <c:pt idx="3">
                  <c:v>Transport</c:v>
                </c:pt>
              </c:strCache>
            </c:strRef>
          </c:cat>
          <c:val>
            <c:numRef>
              <c:f>Dashboard!$AT$2:$AT$6</c:f>
              <c:numCache>
                <c:formatCode>"$"#,##0.00</c:formatCode>
                <c:ptCount val="4"/>
                <c:pt idx="0">
                  <c:v>28.4</c:v>
                </c:pt>
                <c:pt idx="1">
                  <c:v>17</c:v>
                </c:pt>
                <c:pt idx="2">
                  <c:v>10</c:v>
                </c:pt>
                <c:pt idx="3">
                  <c:v>124</c:v>
                </c:pt>
              </c:numCache>
            </c:numRef>
          </c:val>
          <c:extLst>
            <c:ext xmlns:c16="http://schemas.microsoft.com/office/drawing/2014/chart" uri="{C3380CC4-5D6E-409C-BE32-E72D297353CC}">
              <c16:uniqueId val="{00000000-3AC9-4593-8588-2FA3E1004C78}"/>
            </c:ext>
          </c:extLst>
        </c:ser>
        <c:dLbls>
          <c:showLegendKey val="0"/>
          <c:showVal val="0"/>
          <c:showCatName val="0"/>
          <c:showSerName val="0"/>
          <c:showPercent val="0"/>
          <c:showBubbleSize val="0"/>
        </c:dLbls>
        <c:gapWidth val="150"/>
        <c:shape val="box"/>
        <c:axId val="1254258079"/>
        <c:axId val="1254259039"/>
        <c:axId val="0"/>
      </c:bar3DChart>
      <c:catAx>
        <c:axId val="12542580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9039"/>
        <c:crosses val="autoZero"/>
        <c:auto val="1"/>
        <c:lblAlgn val="ctr"/>
        <c:lblOffset val="100"/>
        <c:noMultiLvlLbl val="0"/>
      </c:catAx>
      <c:valAx>
        <c:axId val="125425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Dashboard!$W$1</c:f>
              <c:strCache>
                <c:ptCount val="1"/>
                <c:pt idx="0">
                  <c:v>Total</c:v>
                </c:pt>
              </c:strCache>
            </c:strRef>
          </c:tx>
          <c:spPr>
            <a:solidFill>
              <a:schemeClr val="accent1"/>
            </a:solidFill>
            <a:ln>
              <a:noFill/>
            </a:ln>
            <a:effectLst/>
            <a:sp3d/>
          </c:spPr>
          <c:invertIfNegative val="0"/>
          <c:cat>
            <c:strRef>
              <c:f>Dashboard!$V$2:$V$8</c:f>
              <c:strCache>
                <c:ptCount val="6"/>
                <c:pt idx="0">
                  <c:v>CASE01</c:v>
                </c:pt>
                <c:pt idx="1">
                  <c:v>CPU01</c:v>
                </c:pt>
                <c:pt idx="2">
                  <c:v>GPU01</c:v>
                </c:pt>
                <c:pt idx="3">
                  <c:v>LAPTOP01</c:v>
                </c:pt>
                <c:pt idx="4">
                  <c:v>MONITOR01</c:v>
                </c:pt>
                <c:pt idx="5">
                  <c:v>RAM01</c:v>
                </c:pt>
              </c:strCache>
            </c:strRef>
          </c:cat>
          <c:val>
            <c:numRef>
              <c:f>Dashboard!$W$2:$W$8</c:f>
              <c:numCache>
                <c:formatCode>"$"#,##0.00</c:formatCode>
                <c:ptCount val="6"/>
                <c:pt idx="0">
                  <c:v>390</c:v>
                </c:pt>
                <c:pt idx="1">
                  <c:v>610</c:v>
                </c:pt>
                <c:pt idx="2">
                  <c:v>1200</c:v>
                </c:pt>
                <c:pt idx="3">
                  <c:v>2215</c:v>
                </c:pt>
                <c:pt idx="4">
                  <c:v>260</c:v>
                </c:pt>
                <c:pt idx="5">
                  <c:v>1090</c:v>
                </c:pt>
              </c:numCache>
            </c:numRef>
          </c:val>
          <c:extLst>
            <c:ext xmlns:c16="http://schemas.microsoft.com/office/drawing/2014/chart" uri="{C3380CC4-5D6E-409C-BE32-E72D297353CC}">
              <c16:uniqueId val="{00000000-8A28-41B4-BEE9-64BB750BEBC9}"/>
            </c:ext>
          </c:extLst>
        </c:ser>
        <c:dLbls>
          <c:showLegendKey val="0"/>
          <c:showVal val="0"/>
          <c:showCatName val="0"/>
          <c:showSerName val="0"/>
          <c:showPercent val="0"/>
          <c:showBubbleSize val="0"/>
        </c:dLbls>
        <c:gapWidth val="150"/>
        <c:shape val="box"/>
        <c:axId val="1556101039"/>
        <c:axId val="1556101519"/>
        <c:axId val="0"/>
      </c:bar3DChart>
      <c:catAx>
        <c:axId val="1556101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519"/>
        <c:crosses val="autoZero"/>
        <c:auto val="1"/>
        <c:lblAlgn val="ctr"/>
        <c:lblOffset val="100"/>
        <c:noMultiLvlLbl val="0"/>
      </c:catAx>
      <c:valAx>
        <c:axId val="15561015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Dashboard!$AE$1</c:f>
              <c:strCache>
                <c:ptCount val="1"/>
                <c:pt idx="0">
                  <c:v>Total</c:v>
                </c:pt>
              </c:strCache>
            </c:strRef>
          </c:tx>
          <c:spPr>
            <a:solidFill>
              <a:schemeClr val="accent1"/>
            </a:solidFill>
            <a:ln>
              <a:noFill/>
            </a:ln>
            <a:effectLst/>
            <a:sp3d/>
          </c:spPr>
          <c:invertIfNegative val="0"/>
          <c:cat>
            <c:strRef>
              <c:f>Dashboard!$AD$2:$AD$9</c:f>
              <c:strCache>
                <c:ptCount val="7"/>
                <c:pt idx="0">
                  <c:v>CASE01</c:v>
                </c:pt>
                <c:pt idx="1">
                  <c:v>CPU01</c:v>
                </c:pt>
                <c:pt idx="2">
                  <c:v>GPU01</c:v>
                </c:pt>
                <c:pt idx="3">
                  <c:v>LAPTOP01</c:v>
                </c:pt>
                <c:pt idx="4">
                  <c:v>MONITOR01</c:v>
                </c:pt>
                <c:pt idx="5">
                  <c:v>RAM01</c:v>
                </c:pt>
                <c:pt idx="6">
                  <c:v>POWER01</c:v>
                </c:pt>
              </c:strCache>
            </c:strRef>
          </c:cat>
          <c:val>
            <c:numRef>
              <c:f>Dashboard!$AE$2:$AE$9</c:f>
              <c:numCache>
                <c:formatCode>"$"#,##0.00</c:formatCode>
                <c:ptCount val="7"/>
                <c:pt idx="0">
                  <c:v>157.03000000000003</c:v>
                </c:pt>
                <c:pt idx="1">
                  <c:v>155.55000000000001</c:v>
                </c:pt>
                <c:pt idx="2">
                  <c:v>379.75</c:v>
                </c:pt>
                <c:pt idx="3">
                  <c:v>475.02</c:v>
                </c:pt>
                <c:pt idx="4">
                  <c:v>80.009999999999991</c:v>
                </c:pt>
                <c:pt idx="5">
                  <c:v>176.01999999999998</c:v>
                </c:pt>
                <c:pt idx="6">
                  <c:v>0</c:v>
                </c:pt>
              </c:numCache>
            </c:numRef>
          </c:val>
          <c:extLst>
            <c:ext xmlns:c16="http://schemas.microsoft.com/office/drawing/2014/chart" uri="{C3380CC4-5D6E-409C-BE32-E72D297353CC}">
              <c16:uniqueId val="{00000000-C793-462D-A413-EEB83091362A}"/>
            </c:ext>
          </c:extLst>
        </c:ser>
        <c:dLbls>
          <c:showLegendKey val="0"/>
          <c:showVal val="0"/>
          <c:showCatName val="0"/>
          <c:showSerName val="0"/>
          <c:showPercent val="0"/>
          <c:showBubbleSize val="0"/>
        </c:dLbls>
        <c:gapWidth val="150"/>
        <c:shape val="box"/>
        <c:axId val="1560874575"/>
        <c:axId val="1560876495"/>
        <c:axId val="0"/>
      </c:bar3DChart>
      <c:catAx>
        <c:axId val="1560874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6495"/>
        <c:crosses val="autoZero"/>
        <c:auto val="1"/>
        <c:lblAlgn val="ctr"/>
        <c:lblOffset val="100"/>
        <c:noMultiLvlLbl val="0"/>
      </c:catAx>
      <c:valAx>
        <c:axId val="15608764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over</a:t>
            </a:r>
            <a:r>
              <a:rPr lang="en-US" baseline="0"/>
              <a:t>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Dashboard!$AL$1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Dashboard!$AK$2:$AK$12</c:f>
              <c:strCache>
                <c:ptCount val="10"/>
                <c:pt idx="0">
                  <c:v>1/8/2026</c:v>
                </c:pt>
                <c:pt idx="1">
                  <c:v>1/9/2026</c:v>
                </c:pt>
                <c:pt idx="2">
                  <c:v>1/13/2026</c:v>
                </c:pt>
                <c:pt idx="3">
                  <c:v>1/14/2026</c:v>
                </c:pt>
                <c:pt idx="4">
                  <c:v>1/15/2026</c:v>
                </c:pt>
                <c:pt idx="5">
                  <c:v>1/16/2026</c:v>
                </c:pt>
                <c:pt idx="6">
                  <c:v>1/17/2026</c:v>
                </c:pt>
                <c:pt idx="7">
                  <c:v>1/19/2026</c:v>
                </c:pt>
                <c:pt idx="8">
                  <c:v>1/20/2026</c:v>
                </c:pt>
                <c:pt idx="9">
                  <c:v>3/5/2026</c:v>
                </c:pt>
              </c:strCache>
            </c:strRef>
          </c:cat>
          <c:val>
            <c:numRef>
              <c:f>Dashboard!$AL$2:$AL$12</c:f>
              <c:numCache>
                <c:formatCode>"$"#,##0.00</c:formatCode>
                <c:ptCount val="10"/>
                <c:pt idx="0">
                  <c:v>415</c:v>
                </c:pt>
                <c:pt idx="1">
                  <c:v>300</c:v>
                </c:pt>
                <c:pt idx="2">
                  <c:v>460</c:v>
                </c:pt>
                <c:pt idx="3">
                  <c:v>100</c:v>
                </c:pt>
                <c:pt idx="4">
                  <c:v>400</c:v>
                </c:pt>
                <c:pt idx="5">
                  <c:v>250</c:v>
                </c:pt>
                <c:pt idx="6">
                  <c:v>1940</c:v>
                </c:pt>
                <c:pt idx="7">
                  <c:v>1220</c:v>
                </c:pt>
                <c:pt idx="8">
                  <c:v>260</c:v>
                </c:pt>
                <c:pt idx="9">
                  <c:v>420</c:v>
                </c:pt>
              </c:numCache>
            </c:numRef>
          </c:val>
          <c:smooth val="0"/>
          <c:extLst>
            <c:ext xmlns:c16="http://schemas.microsoft.com/office/drawing/2014/chart" uri="{C3380CC4-5D6E-409C-BE32-E72D297353CC}">
              <c16:uniqueId val="{00000000-FCA0-4133-893F-9357058C5B9F}"/>
            </c:ext>
          </c:extLst>
        </c:ser>
        <c:dLbls>
          <c:showLegendKey val="0"/>
          <c:showVal val="0"/>
          <c:showCatName val="0"/>
          <c:showSerName val="0"/>
          <c:showPercent val="0"/>
          <c:showBubbleSize val="0"/>
        </c:dLbls>
        <c:marker val="1"/>
        <c:smooth val="0"/>
        <c:axId val="1256849759"/>
        <c:axId val="1256843039"/>
      </c:lineChart>
      <c:catAx>
        <c:axId val="125684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3039"/>
        <c:crosses val="autoZero"/>
        <c:auto val="1"/>
        <c:lblAlgn val="ctr"/>
        <c:lblOffset val="100"/>
        <c:noMultiLvlLbl val="0"/>
      </c:catAx>
      <c:valAx>
        <c:axId val="1256843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a:t>
            </a:r>
            <a:r>
              <a:rPr lang="en-US" baseline="0"/>
              <a:t> for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Dashboard!$AT$1</c:f>
              <c:strCache>
                <c:ptCount val="1"/>
                <c:pt idx="0">
                  <c:v>Total</c:v>
                </c:pt>
              </c:strCache>
            </c:strRef>
          </c:tx>
          <c:spPr>
            <a:solidFill>
              <a:schemeClr val="accent1"/>
            </a:solidFill>
            <a:ln>
              <a:noFill/>
            </a:ln>
            <a:effectLst/>
            <a:sp3d/>
          </c:spPr>
          <c:invertIfNegative val="0"/>
          <c:cat>
            <c:strRef>
              <c:f>Dashboard!$AS$2:$AS$6</c:f>
              <c:strCache>
                <c:ptCount val="4"/>
                <c:pt idx="0">
                  <c:v>Packaging</c:v>
                </c:pt>
                <c:pt idx="1">
                  <c:v>Supplies</c:v>
                </c:pt>
                <c:pt idx="2">
                  <c:v>Tools</c:v>
                </c:pt>
                <c:pt idx="3">
                  <c:v>Transport</c:v>
                </c:pt>
              </c:strCache>
            </c:strRef>
          </c:cat>
          <c:val>
            <c:numRef>
              <c:f>Dashboard!$AT$2:$AT$6</c:f>
              <c:numCache>
                <c:formatCode>"$"#,##0.00</c:formatCode>
                <c:ptCount val="4"/>
                <c:pt idx="0">
                  <c:v>28.4</c:v>
                </c:pt>
                <c:pt idx="1">
                  <c:v>17</c:v>
                </c:pt>
                <c:pt idx="2">
                  <c:v>10</c:v>
                </c:pt>
                <c:pt idx="3">
                  <c:v>124</c:v>
                </c:pt>
              </c:numCache>
            </c:numRef>
          </c:val>
          <c:extLst>
            <c:ext xmlns:c16="http://schemas.microsoft.com/office/drawing/2014/chart" uri="{C3380CC4-5D6E-409C-BE32-E72D297353CC}">
              <c16:uniqueId val="{00000000-50F3-4DE0-AC9C-B6B908A47DC0}"/>
            </c:ext>
          </c:extLst>
        </c:ser>
        <c:dLbls>
          <c:showLegendKey val="0"/>
          <c:showVal val="0"/>
          <c:showCatName val="0"/>
          <c:showSerName val="0"/>
          <c:showPercent val="0"/>
          <c:showBubbleSize val="0"/>
        </c:dLbls>
        <c:gapWidth val="150"/>
        <c:shape val="box"/>
        <c:axId val="1254258079"/>
        <c:axId val="1254259039"/>
        <c:axId val="0"/>
      </c:bar3DChart>
      <c:catAx>
        <c:axId val="12542580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9039"/>
        <c:crosses val="autoZero"/>
        <c:auto val="1"/>
        <c:lblAlgn val="ctr"/>
        <c:lblOffset val="100"/>
        <c:noMultiLvlLbl val="0"/>
      </c:catAx>
      <c:valAx>
        <c:axId val="125425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[SoloSell ERP.xlsm]Dashboard!PivotTable12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Dashboard!$BB$3</c:f>
              <c:strCache>
                <c:ptCount val="1"/>
                <c:pt idx="0">
                  <c:v>Sum of Purchased</c:v>
                </c:pt>
              </c:strCache>
            </c:strRef>
          </c:tx>
          <c:spPr>
            <a:solidFill>
              <a:schemeClr val="accent1"/>
            </a:solidFill>
            <a:ln>
              <a:noFill/>
            </a:ln>
            <a:effectLst/>
          </c:spPr>
          <c:invertIfNegative val="0"/>
          <c:cat>
            <c:strRef>
              <c:f>Dashboard!$BA$4:$BA$11</c:f>
              <c:strCache>
                <c:ptCount val="7"/>
                <c:pt idx="0">
                  <c:v>CASE01</c:v>
                </c:pt>
                <c:pt idx="1">
                  <c:v>CPU01</c:v>
                </c:pt>
                <c:pt idx="2">
                  <c:v>GPU01</c:v>
                </c:pt>
                <c:pt idx="3">
                  <c:v>LAPTOP01</c:v>
                </c:pt>
                <c:pt idx="4">
                  <c:v>MONITOR01</c:v>
                </c:pt>
                <c:pt idx="5">
                  <c:v>RAM01</c:v>
                </c:pt>
                <c:pt idx="6">
                  <c:v>POWER01</c:v>
                </c:pt>
              </c:strCache>
            </c:strRef>
          </c:cat>
          <c:val>
            <c:numRef>
              <c:f>Dashboard!$BB$4:$BB$11</c:f>
              <c:numCache>
                <c:formatCode>"$"#,##0.00</c:formatCode>
                <c:ptCount val="7"/>
                <c:pt idx="0">
                  <c:v>232.96999999999997</c:v>
                </c:pt>
                <c:pt idx="1">
                  <c:v>454.45</c:v>
                </c:pt>
                <c:pt idx="2">
                  <c:v>820.25</c:v>
                </c:pt>
                <c:pt idx="3">
                  <c:v>2689.9700000000003</c:v>
                </c:pt>
                <c:pt idx="4">
                  <c:v>545.97</c:v>
                </c:pt>
                <c:pt idx="5">
                  <c:v>1833.96</c:v>
                </c:pt>
                <c:pt idx="6">
                  <c:v>119.99</c:v>
                </c:pt>
              </c:numCache>
            </c:numRef>
          </c:val>
          <c:extLst>
            <c:ext xmlns:c16="http://schemas.microsoft.com/office/drawing/2014/chart" uri="{C3380CC4-5D6E-409C-BE32-E72D297353CC}">
              <c16:uniqueId val="{00000000-B837-410C-9870-742C8A47CF83}"/>
            </c:ext>
          </c:extLst>
        </c:ser>
        <c:ser>
          <c:idx val="1"/>
          <c:order val="1"/>
          <c:tx>
            <c:strRef>
              <c:f>Dashboard!$BC$3</c:f>
              <c:strCache>
                <c:ptCount val="1"/>
                <c:pt idx="0">
                  <c:v>Sum of Sold</c:v>
                </c:pt>
              </c:strCache>
            </c:strRef>
          </c:tx>
          <c:spPr>
            <a:solidFill>
              <a:schemeClr val="accent2"/>
            </a:solidFill>
            <a:ln>
              <a:noFill/>
            </a:ln>
            <a:effectLst/>
          </c:spPr>
          <c:invertIfNegative val="0"/>
          <c:cat>
            <c:strRef>
              <c:f>Dashboard!$BA$4:$BA$11</c:f>
              <c:strCache>
                <c:ptCount val="7"/>
                <c:pt idx="0">
                  <c:v>CASE01</c:v>
                </c:pt>
                <c:pt idx="1">
                  <c:v>CPU01</c:v>
                </c:pt>
                <c:pt idx="2">
                  <c:v>GPU01</c:v>
                </c:pt>
                <c:pt idx="3">
                  <c:v>LAPTOP01</c:v>
                </c:pt>
                <c:pt idx="4">
                  <c:v>MONITOR01</c:v>
                </c:pt>
                <c:pt idx="5">
                  <c:v>RAM01</c:v>
                </c:pt>
                <c:pt idx="6">
                  <c:v>POWER01</c:v>
                </c:pt>
              </c:strCache>
            </c:strRef>
          </c:cat>
          <c:val>
            <c:numRef>
              <c:f>Dashboard!$BC$4:$BC$11</c:f>
              <c:numCache>
                <c:formatCode>"$"#,##0.00</c:formatCode>
                <c:ptCount val="7"/>
                <c:pt idx="0">
                  <c:v>390</c:v>
                </c:pt>
                <c:pt idx="1">
                  <c:v>610</c:v>
                </c:pt>
                <c:pt idx="2">
                  <c:v>1200</c:v>
                </c:pt>
                <c:pt idx="3">
                  <c:v>2215</c:v>
                </c:pt>
                <c:pt idx="4">
                  <c:v>260</c:v>
                </c:pt>
                <c:pt idx="5">
                  <c:v>1090</c:v>
                </c:pt>
                <c:pt idx="6">
                  <c:v>0</c:v>
                </c:pt>
              </c:numCache>
            </c:numRef>
          </c:val>
          <c:extLst>
            <c:ext xmlns:c16="http://schemas.microsoft.com/office/drawing/2014/chart" uri="{C3380CC4-5D6E-409C-BE32-E72D297353CC}">
              <c16:uniqueId val="{00000001-B837-410C-9870-742C8A47CF83}"/>
            </c:ext>
          </c:extLst>
        </c:ser>
        <c:ser>
          <c:idx val="2"/>
          <c:order val="2"/>
          <c:tx>
            <c:strRef>
              <c:f>Dashboard!$BD$3</c:f>
              <c:strCache>
                <c:ptCount val="1"/>
                <c:pt idx="0">
                  <c:v>Sum of Profit</c:v>
                </c:pt>
              </c:strCache>
            </c:strRef>
          </c:tx>
          <c:spPr>
            <a:solidFill>
              <a:schemeClr val="accent3"/>
            </a:solidFill>
            <a:ln>
              <a:noFill/>
            </a:ln>
            <a:effectLst/>
          </c:spPr>
          <c:invertIfNegative val="0"/>
          <c:cat>
            <c:strRef>
              <c:f>Dashboard!$BA$4:$BA$11</c:f>
              <c:strCache>
                <c:ptCount val="7"/>
                <c:pt idx="0">
                  <c:v>CASE01</c:v>
                </c:pt>
                <c:pt idx="1">
                  <c:v>CPU01</c:v>
                </c:pt>
                <c:pt idx="2">
                  <c:v>GPU01</c:v>
                </c:pt>
                <c:pt idx="3">
                  <c:v>LAPTOP01</c:v>
                </c:pt>
                <c:pt idx="4">
                  <c:v>MONITOR01</c:v>
                </c:pt>
                <c:pt idx="5">
                  <c:v>RAM01</c:v>
                </c:pt>
                <c:pt idx="6">
                  <c:v>POWER01</c:v>
                </c:pt>
              </c:strCache>
            </c:strRef>
          </c:cat>
          <c:val>
            <c:numRef>
              <c:f>Dashboard!$BD$4:$BD$11</c:f>
              <c:numCache>
                <c:formatCode>"$"#,##0.00</c:formatCode>
                <c:ptCount val="7"/>
                <c:pt idx="0">
                  <c:v>157.03000000000003</c:v>
                </c:pt>
                <c:pt idx="1">
                  <c:v>155.55000000000001</c:v>
                </c:pt>
                <c:pt idx="2">
                  <c:v>379.75</c:v>
                </c:pt>
                <c:pt idx="3">
                  <c:v>475.02</c:v>
                </c:pt>
                <c:pt idx="4">
                  <c:v>80.009999999999991</c:v>
                </c:pt>
                <c:pt idx="5">
                  <c:v>176.01999999999998</c:v>
                </c:pt>
                <c:pt idx="6">
                  <c:v>0</c:v>
                </c:pt>
              </c:numCache>
            </c:numRef>
          </c:val>
          <c:extLst>
            <c:ext xmlns:c16="http://schemas.microsoft.com/office/drawing/2014/chart" uri="{C3380CC4-5D6E-409C-BE32-E72D297353CC}">
              <c16:uniqueId val="{00000002-B837-410C-9870-742C8A47CF83}"/>
            </c:ext>
          </c:extLst>
        </c:ser>
        <c:dLbls>
          <c:showLegendKey val="0"/>
          <c:showVal val="0"/>
          <c:showCatName val="0"/>
          <c:showSerName val="0"/>
          <c:showPercent val="0"/>
          <c:showBubbleSize val="0"/>
        </c:dLbls>
        <c:gapWidth val="182"/>
        <c:axId val="1856241167"/>
        <c:axId val="1856237327"/>
      </c:barChart>
      <c:catAx>
        <c:axId val="1856241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237327"/>
        <c:crosses val="autoZero"/>
        <c:auto val="1"/>
        <c:lblAlgn val="ctr"/>
        <c:lblOffset val="100"/>
        <c:noMultiLvlLbl val="0"/>
      </c:catAx>
      <c:valAx>
        <c:axId val="185623732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241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 for</a:t>
            </a:r>
            <a:r>
              <a:rPr lang="en-US" baseline="0"/>
              <a: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4"/>
              <c:pt idx="0">
                <c:v>Packaging</c:v>
              </c:pt>
              <c:pt idx="1">
                <c:v>Supplies</c:v>
              </c:pt>
              <c:pt idx="2">
                <c:v>Tools</c:v>
              </c:pt>
              <c:pt idx="3">
                <c:v>Transport</c:v>
              </c:pt>
            </c:strLit>
          </c:cat>
          <c:val>
            <c:numLit>
              <c:formatCode>General</c:formatCode>
              <c:ptCount val="4"/>
              <c:pt idx="0">
                <c:v>28.4</c:v>
              </c:pt>
              <c:pt idx="1">
                <c:v>17</c:v>
              </c:pt>
              <c:pt idx="2">
                <c:v>10</c:v>
              </c:pt>
              <c:pt idx="3">
                <c:v>109</c:v>
              </c:pt>
            </c:numLit>
          </c:val>
          <c:extLst>
            <c:ext xmlns:c16="http://schemas.microsoft.com/office/drawing/2014/chart" uri="{C3380CC4-5D6E-409C-BE32-E72D297353CC}">
              <c16:uniqueId val="{00000000-3F64-44CD-BBDA-B9ADA3B64C61}"/>
            </c:ext>
          </c:extLst>
        </c:ser>
        <c:dLbls>
          <c:showLegendKey val="0"/>
          <c:showVal val="0"/>
          <c:showCatName val="0"/>
          <c:showSerName val="0"/>
          <c:showPercent val="0"/>
          <c:showBubbleSize val="0"/>
        </c:dLbls>
        <c:gapWidth val="182"/>
        <c:axId val="1724080831"/>
        <c:axId val="1724080351"/>
      </c:barChart>
      <c:catAx>
        <c:axId val="1724080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0351"/>
        <c:crosses val="autoZero"/>
        <c:auto val="1"/>
        <c:lblAlgn val="ctr"/>
        <c:lblOffset val="100"/>
        <c:noMultiLvlLbl val="0"/>
      </c:catAx>
      <c:valAx>
        <c:axId val="17240803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0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533400</xdr:colOff>
      <xdr:row>12</xdr:row>
      <xdr:rowOff>142875</xdr:rowOff>
    </xdr:from>
    <xdr:to>
      <xdr:col>2</xdr:col>
      <xdr:colOff>2476500</xdr:colOff>
      <xdr:row>15</xdr:row>
      <xdr:rowOff>66675</xdr:rowOff>
    </xdr:to>
    <xdr:sp macro="[0]!InsertPurchase" textlink="">
      <xdr:nvSpPr>
        <xdr:cNvPr id="2" name="Rectangle 1">
          <a:extLst>
            <a:ext uri="{FF2B5EF4-FFF2-40B4-BE49-F238E27FC236}">
              <a16:creationId xmlns:a16="http://schemas.microsoft.com/office/drawing/2014/main" id="{BCB57D6A-89C3-B62E-62CB-CC919DA242BA}"/>
            </a:ext>
          </a:extLst>
        </xdr:cNvPr>
        <xdr:cNvSpPr/>
      </xdr:nvSpPr>
      <xdr:spPr>
        <a:xfrm>
          <a:off x="533400" y="2828925"/>
          <a:ext cx="2886075" cy="4953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t>INSERT</a:t>
          </a:r>
        </a:p>
      </xdr:txBody>
    </xdr:sp>
    <xdr:clientData/>
  </xdr:twoCellAnchor>
  <xdr:twoCellAnchor>
    <xdr:from>
      <xdr:col>4</xdr:col>
      <xdr:colOff>295275</xdr:colOff>
      <xdr:row>12</xdr:row>
      <xdr:rowOff>142875</xdr:rowOff>
    </xdr:from>
    <xdr:to>
      <xdr:col>6</xdr:col>
      <xdr:colOff>2038350</xdr:colOff>
      <xdr:row>15</xdr:row>
      <xdr:rowOff>66675</xdr:rowOff>
    </xdr:to>
    <xdr:sp macro="[0]!InsertSale" textlink="">
      <xdr:nvSpPr>
        <xdr:cNvPr id="3" name="Rectangle 2">
          <a:extLst>
            <a:ext uri="{FF2B5EF4-FFF2-40B4-BE49-F238E27FC236}">
              <a16:creationId xmlns:a16="http://schemas.microsoft.com/office/drawing/2014/main" id="{9CD91F67-ECC9-40A8-8B74-FB99D4B53F78}"/>
            </a:ext>
          </a:extLst>
        </xdr:cNvPr>
        <xdr:cNvSpPr/>
      </xdr:nvSpPr>
      <xdr:spPr>
        <a:xfrm>
          <a:off x="4752975" y="2828925"/>
          <a:ext cx="2886075" cy="4953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t>INSERT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0</xdr:colOff>
      <xdr:row>10</xdr:row>
      <xdr:rowOff>0</xdr:rowOff>
    </xdr:from>
    <xdr:to>
      <xdr:col>101</xdr:col>
      <xdr:colOff>28575</xdr:colOff>
      <xdr:row>25</xdr:row>
      <xdr:rowOff>57150</xdr:rowOff>
    </xdr:to>
    <xdr:sp macro="" textlink="">
      <xdr:nvSpPr>
        <xdr:cNvPr id="58" name="Rectangle 57">
          <a:extLst>
            <a:ext uri="{FF2B5EF4-FFF2-40B4-BE49-F238E27FC236}">
              <a16:creationId xmlns:a16="http://schemas.microsoft.com/office/drawing/2014/main" id="{0E5255D5-19AC-44B8-8C5C-ACB49684A139}"/>
            </a:ext>
          </a:extLst>
        </xdr:cNvPr>
        <xdr:cNvSpPr/>
      </xdr:nvSpPr>
      <xdr:spPr>
        <a:xfrm>
          <a:off x="57750075" y="1914525"/>
          <a:ext cx="12220575" cy="29146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92</xdr:col>
      <xdr:colOff>209551</xdr:colOff>
      <xdr:row>35</xdr:row>
      <xdr:rowOff>180976</xdr:rowOff>
    </xdr:from>
    <xdr:to>
      <xdr:col>100</xdr:col>
      <xdr:colOff>590550</xdr:colOff>
      <xdr:row>53</xdr:row>
      <xdr:rowOff>161926</xdr:rowOff>
    </xdr:to>
    <xdr:sp macro="" textlink="">
      <xdr:nvSpPr>
        <xdr:cNvPr id="57" name="Rectangle 56">
          <a:extLst>
            <a:ext uri="{FF2B5EF4-FFF2-40B4-BE49-F238E27FC236}">
              <a16:creationId xmlns:a16="http://schemas.microsoft.com/office/drawing/2014/main" id="{F6AFF815-F3D8-4A63-9410-152F99F907EE}"/>
            </a:ext>
          </a:extLst>
        </xdr:cNvPr>
        <xdr:cNvSpPr/>
      </xdr:nvSpPr>
      <xdr:spPr>
        <a:xfrm>
          <a:off x="64665226" y="6858001"/>
          <a:ext cx="5257799" cy="34099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571501</xdr:colOff>
      <xdr:row>36</xdr:row>
      <xdr:rowOff>9525</xdr:rowOff>
    </xdr:from>
    <xdr:to>
      <xdr:col>92</xdr:col>
      <xdr:colOff>133351</xdr:colOff>
      <xdr:row>53</xdr:row>
      <xdr:rowOff>142874</xdr:rowOff>
    </xdr:to>
    <xdr:sp macro="" textlink="">
      <xdr:nvSpPr>
        <xdr:cNvPr id="56" name="Rectangle 55">
          <a:extLst>
            <a:ext uri="{FF2B5EF4-FFF2-40B4-BE49-F238E27FC236}">
              <a16:creationId xmlns:a16="http://schemas.microsoft.com/office/drawing/2014/main" id="{D43D34B3-843A-4EDD-A2E7-E8E7C5D6D052}"/>
            </a:ext>
          </a:extLst>
        </xdr:cNvPr>
        <xdr:cNvSpPr/>
      </xdr:nvSpPr>
      <xdr:spPr>
        <a:xfrm>
          <a:off x="57711976" y="6877050"/>
          <a:ext cx="6877050" cy="337184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81</xdr:col>
      <xdr:colOff>9525</xdr:colOff>
      <xdr:row>25</xdr:row>
      <xdr:rowOff>104776</xdr:rowOff>
    </xdr:from>
    <xdr:to>
      <xdr:col>101</xdr:col>
      <xdr:colOff>19050</xdr:colOff>
      <xdr:row>35</xdr:row>
      <xdr:rowOff>9526</xdr:rowOff>
    </xdr:to>
    <xdr:sp macro="" textlink="">
      <xdr:nvSpPr>
        <xdr:cNvPr id="55" name="Rectangle 54">
          <a:extLst>
            <a:ext uri="{FF2B5EF4-FFF2-40B4-BE49-F238E27FC236}">
              <a16:creationId xmlns:a16="http://schemas.microsoft.com/office/drawing/2014/main" id="{CD46DF53-457C-093D-6D83-E90DA139D5DF}"/>
            </a:ext>
          </a:extLst>
        </xdr:cNvPr>
        <xdr:cNvSpPr/>
      </xdr:nvSpPr>
      <xdr:spPr>
        <a:xfrm>
          <a:off x="57759600" y="4876801"/>
          <a:ext cx="12201525" cy="18097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81</xdr:col>
      <xdr:colOff>9525</xdr:colOff>
      <xdr:row>3</xdr:row>
      <xdr:rowOff>180975</xdr:rowOff>
    </xdr:from>
    <xdr:to>
      <xdr:col>84</xdr:col>
      <xdr:colOff>0</xdr:colOff>
      <xdr:row>9</xdr:row>
      <xdr:rowOff>133350</xdr:rowOff>
    </xdr:to>
    <xdr:grpSp>
      <xdr:nvGrpSpPr>
        <xdr:cNvPr id="33" name="Group 32">
          <a:extLst>
            <a:ext uri="{FF2B5EF4-FFF2-40B4-BE49-F238E27FC236}">
              <a16:creationId xmlns:a16="http://schemas.microsoft.com/office/drawing/2014/main" id="{EF7DBF77-AB58-CC0E-1D30-78CE6280CB4E}"/>
            </a:ext>
          </a:extLst>
        </xdr:cNvPr>
        <xdr:cNvGrpSpPr/>
      </xdr:nvGrpSpPr>
      <xdr:grpSpPr>
        <a:xfrm>
          <a:off x="619125" y="752475"/>
          <a:ext cx="1819275" cy="1104900"/>
          <a:chOff x="53635275" y="752475"/>
          <a:chExt cx="1819275" cy="1095375"/>
        </a:xfrm>
      </xdr:grpSpPr>
      <xdr:sp macro="" textlink="">
        <xdr:nvSpPr>
          <xdr:cNvPr id="22" name="Rectangle 21">
            <a:extLst>
              <a:ext uri="{FF2B5EF4-FFF2-40B4-BE49-F238E27FC236}">
                <a16:creationId xmlns:a16="http://schemas.microsoft.com/office/drawing/2014/main" id="{7B3E0875-1836-A64B-669F-AFFB0AE913E7}"/>
              </a:ext>
            </a:extLst>
          </xdr:cNvPr>
          <xdr:cNvSpPr/>
        </xdr:nvSpPr>
        <xdr:spPr>
          <a:xfrm>
            <a:off x="53635275" y="752475"/>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78AEEAC8-E588-B64E-EEED-E91C0EE2E4E2}"/>
              </a:ext>
            </a:extLst>
          </xdr:cNvPr>
          <xdr:cNvSpPr txBox="1"/>
        </xdr:nvSpPr>
        <xdr:spPr>
          <a:xfrm>
            <a:off x="53740050" y="847725"/>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SALES</a:t>
            </a:r>
          </a:p>
        </xdr:txBody>
      </xdr:sp>
    </xdr:grpSp>
    <xdr:clientData/>
  </xdr:twoCellAnchor>
  <xdr:twoCellAnchor>
    <xdr:from>
      <xdr:col>98</xdr:col>
      <xdr:colOff>19050</xdr:colOff>
      <xdr:row>3</xdr:row>
      <xdr:rowOff>180975</xdr:rowOff>
    </xdr:from>
    <xdr:to>
      <xdr:col>101</xdr:col>
      <xdr:colOff>9525</xdr:colOff>
      <xdr:row>9</xdr:row>
      <xdr:rowOff>133350</xdr:rowOff>
    </xdr:to>
    <xdr:grpSp>
      <xdr:nvGrpSpPr>
        <xdr:cNvPr id="38" name="Group 37">
          <a:extLst>
            <a:ext uri="{FF2B5EF4-FFF2-40B4-BE49-F238E27FC236}">
              <a16:creationId xmlns:a16="http://schemas.microsoft.com/office/drawing/2014/main" id="{127C1D2B-5588-1E19-6CA5-75BFA20A2FA0}"/>
            </a:ext>
          </a:extLst>
        </xdr:cNvPr>
        <xdr:cNvGrpSpPr/>
      </xdr:nvGrpSpPr>
      <xdr:grpSpPr>
        <a:xfrm>
          <a:off x="10991850" y="752475"/>
          <a:ext cx="1819275" cy="1104900"/>
          <a:chOff x="64008000" y="800100"/>
          <a:chExt cx="1819275" cy="1095375"/>
        </a:xfrm>
      </xdr:grpSpPr>
      <xdr:sp macro="" textlink="">
        <xdr:nvSpPr>
          <xdr:cNvPr id="31" name="Rectangle 30">
            <a:extLst>
              <a:ext uri="{FF2B5EF4-FFF2-40B4-BE49-F238E27FC236}">
                <a16:creationId xmlns:a16="http://schemas.microsoft.com/office/drawing/2014/main" id="{9C0C5175-88F0-4A55-9990-FFB97D22F8AF}"/>
              </a:ext>
            </a:extLst>
          </xdr:cNvPr>
          <xdr:cNvSpPr/>
        </xdr:nvSpPr>
        <xdr:spPr>
          <a:xfrm>
            <a:off x="64008000" y="8001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983B02DC-9686-456F-921F-1D4FF0937F73}"/>
              </a:ext>
            </a:extLst>
          </xdr:cNvPr>
          <xdr:cNvSpPr txBox="1"/>
        </xdr:nvSpPr>
        <xdr:spPr>
          <a:xfrm>
            <a:off x="64112775" y="8953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AVG</a:t>
            </a:r>
            <a:r>
              <a:rPr lang="en-US" sz="1400" b="1" baseline="0">
                <a:solidFill>
                  <a:sysClr val="windowText" lastClr="000000"/>
                </a:solidFill>
              </a:rPr>
              <a:t> TICKET PRICE</a:t>
            </a:r>
            <a:endParaRPr lang="en-US" sz="1400" b="1">
              <a:solidFill>
                <a:sysClr val="windowText" lastClr="000000"/>
              </a:solidFill>
            </a:endParaRPr>
          </a:p>
        </xdr:txBody>
      </xdr:sp>
    </xdr:grpSp>
    <xdr:clientData/>
  </xdr:twoCellAnchor>
  <xdr:twoCellAnchor>
    <xdr:from>
      <xdr:col>94</xdr:col>
      <xdr:colOff>382905</xdr:colOff>
      <xdr:row>3</xdr:row>
      <xdr:rowOff>180975</xdr:rowOff>
    </xdr:from>
    <xdr:to>
      <xdr:col>97</xdr:col>
      <xdr:colOff>373380</xdr:colOff>
      <xdr:row>9</xdr:row>
      <xdr:rowOff>133350</xdr:rowOff>
    </xdr:to>
    <xdr:grpSp>
      <xdr:nvGrpSpPr>
        <xdr:cNvPr id="37" name="Group 36">
          <a:extLst>
            <a:ext uri="{FF2B5EF4-FFF2-40B4-BE49-F238E27FC236}">
              <a16:creationId xmlns:a16="http://schemas.microsoft.com/office/drawing/2014/main" id="{C94AD9D0-F63C-E616-C1F8-3B5860E51958}"/>
            </a:ext>
          </a:extLst>
        </xdr:cNvPr>
        <xdr:cNvGrpSpPr/>
      </xdr:nvGrpSpPr>
      <xdr:grpSpPr>
        <a:xfrm>
          <a:off x="8917305" y="752475"/>
          <a:ext cx="1819275" cy="1104900"/>
          <a:chOff x="61969650" y="800100"/>
          <a:chExt cx="1819275" cy="1095375"/>
        </a:xfrm>
      </xdr:grpSpPr>
      <xdr:sp macro="" textlink="">
        <xdr:nvSpPr>
          <xdr:cNvPr id="29" name="Rectangle 28">
            <a:extLst>
              <a:ext uri="{FF2B5EF4-FFF2-40B4-BE49-F238E27FC236}">
                <a16:creationId xmlns:a16="http://schemas.microsoft.com/office/drawing/2014/main" id="{BD1B9A66-AD4E-4637-9A76-A38111A6F46E}"/>
              </a:ext>
            </a:extLst>
          </xdr:cNvPr>
          <xdr:cNvSpPr/>
        </xdr:nvSpPr>
        <xdr:spPr>
          <a:xfrm>
            <a:off x="61969650" y="8001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TextBox 29">
            <a:extLst>
              <a:ext uri="{FF2B5EF4-FFF2-40B4-BE49-F238E27FC236}">
                <a16:creationId xmlns:a16="http://schemas.microsoft.com/office/drawing/2014/main" id="{0815CAED-4104-4CB1-B9ED-932F8B650FCF}"/>
              </a:ext>
            </a:extLst>
          </xdr:cNvPr>
          <xdr:cNvSpPr txBox="1"/>
        </xdr:nvSpPr>
        <xdr:spPr>
          <a:xfrm>
            <a:off x="62074425" y="8953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UNITS SOLD</a:t>
            </a:r>
          </a:p>
        </xdr:txBody>
      </xdr:sp>
    </xdr:grpSp>
    <xdr:clientData/>
  </xdr:twoCellAnchor>
  <xdr:twoCellAnchor>
    <xdr:from>
      <xdr:col>91</xdr:col>
      <xdr:colOff>137160</xdr:colOff>
      <xdr:row>3</xdr:row>
      <xdr:rowOff>180975</xdr:rowOff>
    </xdr:from>
    <xdr:to>
      <xdr:col>94</xdr:col>
      <xdr:colOff>127635</xdr:colOff>
      <xdr:row>9</xdr:row>
      <xdr:rowOff>133350</xdr:rowOff>
    </xdr:to>
    <xdr:grpSp>
      <xdr:nvGrpSpPr>
        <xdr:cNvPr id="36" name="Group 35">
          <a:extLst>
            <a:ext uri="{FF2B5EF4-FFF2-40B4-BE49-F238E27FC236}">
              <a16:creationId xmlns:a16="http://schemas.microsoft.com/office/drawing/2014/main" id="{9E074162-6197-FE99-53BF-B305954E139F}"/>
            </a:ext>
          </a:extLst>
        </xdr:cNvPr>
        <xdr:cNvGrpSpPr/>
      </xdr:nvGrpSpPr>
      <xdr:grpSpPr>
        <a:xfrm>
          <a:off x="6842760" y="752475"/>
          <a:ext cx="1819275" cy="1104900"/>
          <a:chOff x="60017025" y="809625"/>
          <a:chExt cx="1819275" cy="1095375"/>
        </a:xfrm>
      </xdr:grpSpPr>
      <xdr:sp macro="" textlink="">
        <xdr:nvSpPr>
          <xdr:cNvPr id="27" name="Rectangle 26">
            <a:extLst>
              <a:ext uri="{FF2B5EF4-FFF2-40B4-BE49-F238E27FC236}">
                <a16:creationId xmlns:a16="http://schemas.microsoft.com/office/drawing/2014/main" id="{2735A1D3-9C1C-43F7-9D6D-12066C8BC24A}"/>
              </a:ext>
            </a:extLst>
          </xdr:cNvPr>
          <xdr:cNvSpPr/>
        </xdr:nvSpPr>
        <xdr:spPr>
          <a:xfrm>
            <a:off x="60017025" y="809625"/>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extLst>
              <a:ext uri="{FF2B5EF4-FFF2-40B4-BE49-F238E27FC236}">
                <a16:creationId xmlns:a16="http://schemas.microsoft.com/office/drawing/2014/main" id="{58500F78-ABF2-4218-8468-83DDFD5E5AF9}"/>
              </a:ext>
            </a:extLst>
          </xdr:cNvPr>
          <xdr:cNvSpPr txBox="1"/>
        </xdr:nvSpPr>
        <xdr:spPr>
          <a:xfrm>
            <a:off x="60121800" y="904875"/>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PROFIT</a:t>
            </a:r>
          </a:p>
        </xdr:txBody>
      </xdr:sp>
    </xdr:grpSp>
    <xdr:clientData/>
  </xdr:twoCellAnchor>
  <xdr:twoCellAnchor>
    <xdr:from>
      <xdr:col>87</xdr:col>
      <xdr:colOff>501015</xdr:colOff>
      <xdr:row>3</xdr:row>
      <xdr:rowOff>180975</xdr:rowOff>
    </xdr:from>
    <xdr:to>
      <xdr:col>90</xdr:col>
      <xdr:colOff>491490</xdr:colOff>
      <xdr:row>9</xdr:row>
      <xdr:rowOff>133350</xdr:rowOff>
    </xdr:to>
    <xdr:grpSp>
      <xdr:nvGrpSpPr>
        <xdr:cNvPr id="35" name="Group 34">
          <a:extLst>
            <a:ext uri="{FF2B5EF4-FFF2-40B4-BE49-F238E27FC236}">
              <a16:creationId xmlns:a16="http://schemas.microsoft.com/office/drawing/2014/main" id="{3B1A9302-00BF-9293-0871-764D366FAE8B}"/>
            </a:ext>
          </a:extLst>
        </xdr:cNvPr>
        <xdr:cNvGrpSpPr/>
      </xdr:nvGrpSpPr>
      <xdr:grpSpPr>
        <a:xfrm>
          <a:off x="4768215" y="752475"/>
          <a:ext cx="1819275" cy="1104900"/>
          <a:chOff x="57826275" y="781050"/>
          <a:chExt cx="1819275" cy="1095375"/>
        </a:xfrm>
      </xdr:grpSpPr>
      <xdr:sp macro="" textlink="">
        <xdr:nvSpPr>
          <xdr:cNvPr id="25" name="Rectangle 24">
            <a:extLst>
              <a:ext uri="{FF2B5EF4-FFF2-40B4-BE49-F238E27FC236}">
                <a16:creationId xmlns:a16="http://schemas.microsoft.com/office/drawing/2014/main" id="{9E95F289-B807-44BF-A7BF-9D474CE96AAC}"/>
              </a:ext>
            </a:extLst>
          </xdr:cNvPr>
          <xdr:cNvSpPr/>
        </xdr:nvSpPr>
        <xdr:spPr>
          <a:xfrm>
            <a:off x="57826275" y="78105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7B09A1E5-5C62-41F2-ACC6-95D0B023B319}"/>
              </a:ext>
            </a:extLst>
          </xdr:cNvPr>
          <xdr:cNvSpPr txBox="1"/>
        </xdr:nvSpPr>
        <xdr:spPr>
          <a:xfrm>
            <a:off x="57931050" y="87630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EXPENSIVES</a:t>
            </a:r>
          </a:p>
        </xdr:txBody>
      </xdr:sp>
    </xdr:grpSp>
    <xdr:clientData/>
  </xdr:twoCellAnchor>
  <xdr:twoCellAnchor>
    <xdr:from>
      <xdr:col>84</xdr:col>
      <xdr:colOff>255270</xdr:colOff>
      <xdr:row>3</xdr:row>
      <xdr:rowOff>180975</xdr:rowOff>
    </xdr:from>
    <xdr:to>
      <xdr:col>87</xdr:col>
      <xdr:colOff>245745</xdr:colOff>
      <xdr:row>9</xdr:row>
      <xdr:rowOff>133350</xdr:rowOff>
    </xdr:to>
    <xdr:grpSp>
      <xdr:nvGrpSpPr>
        <xdr:cNvPr id="34" name="Group 33">
          <a:extLst>
            <a:ext uri="{FF2B5EF4-FFF2-40B4-BE49-F238E27FC236}">
              <a16:creationId xmlns:a16="http://schemas.microsoft.com/office/drawing/2014/main" id="{781895A0-6FAB-7EAD-7A4E-A96710E89DED}"/>
            </a:ext>
          </a:extLst>
        </xdr:cNvPr>
        <xdr:cNvGrpSpPr/>
      </xdr:nvGrpSpPr>
      <xdr:grpSpPr>
        <a:xfrm>
          <a:off x="2693670" y="752475"/>
          <a:ext cx="1819275" cy="1104900"/>
          <a:chOff x="55721250" y="762000"/>
          <a:chExt cx="1819275" cy="1095375"/>
        </a:xfrm>
      </xdr:grpSpPr>
      <xdr:sp macro="" textlink="">
        <xdr:nvSpPr>
          <xdr:cNvPr id="23" name="Rectangle 22">
            <a:extLst>
              <a:ext uri="{FF2B5EF4-FFF2-40B4-BE49-F238E27FC236}">
                <a16:creationId xmlns:a16="http://schemas.microsoft.com/office/drawing/2014/main" id="{B410A18E-0709-480E-9766-43B0C5BAE149}"/>
              </a:ext>
            </a:extLst>
          </xdr:cNvPr>
          <xdr:cNvSpPr/>
        </xdr:nvSpPr>
        <xdr:spPr>
          <a:xfrm>
            <a:off x="55721250" y="7620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BAED9CB5-78B7-405A-94AA-82F6C1614464}"/>
              </a:ext>
            </a:extLst>
          </xdr:cNvPr>
          <xdr:cNvSpPr txBox="1"/>
        </xdr:nvSpPr>
        <xdr:spPr>
          <a:xfrm>
            <a:off x="55826025" y="8572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PURCHASES</a:t>
            </a:r>
          </a:p>
        </xdr:txBody>
      </xdr:sp>
    </xdr:grpSp>
    <xdr:clientData/>
  </xdr:twoCellAnchor>
  <xdr:twoCellAnchor>
    <xdr:from>
      <xdr:col>0</xdr:col>
      <xdr:colOff>47625</xdr:colOff>
      <xdr:row>6</xdr:row>
      <xdr:rowOff>38100</xdr:rowOff>
    </xdr:from>
    <xdr:to>
      <xdr:col>1</xdr:col>
      <xdr:colOff>542925</xdr:colOff>
      <xdr:row>9</xdr:row>
      <xdr:rowOff>0</xdr:rowOff>
    </xdr:to>
    <xdr:sp macro="" textlink="$B$2">
      <xdr:nvSpPr>
        <xdr:cNvPr id="2" name="TextBox 1">
          <a:extLst>
            <a:ext uri="{FF2B5EF4-FFF2-40B4-BE49-F238E27FC236}">
              <a16:creationId xmlns:a16="http://schemas.microsoft.com/office/drawing/2014/main" id="{99DB5527-4802-550A-6540-FD7E81D0BA75}"/>
            </a:ext>
          </a:extLst>
        </xdr:cNvPr>
        <xdr:cNvSpPr txBox="1"/>
      </xdr:nvSpPr>
      <xdr:spPr>
        <a:xfrm>
          <a:off x="47625" y="1190625"/>
          <a:ext cx="1552575"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D0C08E8B-F1C8-45B9-A7AE-948F87513B16}" type="TxLink">
            <a:rPr lang="en-US" sz="1100" b="0" i="0" u="none" strike="noStrike">
              <a:solidFill>
                <a:srgbClr val="000000"/>
              </a:solidFill>
              <a:latin typeface="Calibri"/>
              <a:ea typeface="Calibri"/>
              <a:cs typeface="Calibri"/>
            </a:rPr>
            <a:pPr algn="ctr"/>
            <a:t>$5,765.00</a:t>
          </a:fld>
          <a:endParaRPr lang="en-US" sz="1100"/>
        </a:p>
      </xdr:txBody>
    </xdr:sp>
    <xdr:clientData/>
  </xdr:twoCellAnchor>
  <xdr:twoCellAnchor>
    <xdr:from>
      <xdr:col>5</xdr:col>
      <xdr:colOff>114300</xdr:colOff>
      <xdr:row>6</xdr:row>
      <xdr:rowOff>66675</xdr:rowOff>
    </xdr:from>
    <xdr:to>
      <xdr:col>6</xdr:col>
      <xdr:colOff>628650</xdr:colOff>
      <xdr:row>9</xdr:row>
      <xdr:rowOff>28575</xdr:rowOff>
    </xdr:to>
    <xdr:sp macro="" textlink="$G$2">
      <xdr:nvSpPr>
        <xdr:cNvPr id="3" name="TextBox 2">
          <a:extLst>
            <a:ext uri="{FF2B5EF4-FFF2-40B4-BE49-F238E27FC236}">
              <a16:creationId xmlns:a16="http://schemas.microsoft.com/office/drawing/2014/main" id="{23D5D217-CE2F-4A0B-A00E-88D84AF56097}"/>
            </a:ext>
          </a:extLst>
        </xdr:cNvPr>
        <xdr:cNvSpPr txBox="1"/>
      </xdr:nvSpPr>
      <xdr:spPr>
        <a:xfrm>
          <a:off x="2028825" y="120967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9C2BEC1C-B8AC-479A-B497-6F5956B47339}" type="TxLink">
            <a:rPr lang="en-US" sz="1100" b="0" i="0" u="none" strike="noStrike">
              <a:solidFill>
                <a:srgbClr val="000000"/>
              </a:solidFill>
              <a:latin typeface="Calibri"/>
              <a:ea typeface="Calibri"/>
              <a:cs typeface="Calibri"/>
            </a:rPr>
            <a:pPr algn="ctr"/>
            <a:t>$6,697.56</a:t>
          </a:fld>
          <a:endParaRPr lang="en-US" sz="1100"/>
        </a:p>
      </xdr:txBody>
    </xdr:sp>
    <xdr:clientData/>
  </xdr:twoCellAnchor>
  <xdr:twoCellAnchor>
    <xdr:from>
      <xdr:col>8</xdr:col>
      <xdr:colOff>66675</xdr:colOff>
      <xdr:row>6</xdr:row>
      <xdr:rowOff>76200</xdr:rowOff>
    </xdr:from>
    <xdr:to>
      <xdr:col>9</xdr:col>
      <xdr:colOff>523875</xdr:colOff>
      <xdr:row>9</xdr:row>
      <xdr:rowOff>38100</xdr:rowOff>
    </xdr:to>
    <xdr:sp macro="" textlink="$J$2">
      <xdr:nvSpPr>
        <xdr:cNvPr id="4" name="TextBox 3">
          <a:extLst>
            <a:ext uri="{FF2B5EF4-FFF2-40B4-BE49-F238E27FC236}">
              <a16:creationId xmlns:a16="http://schemas.microsoft.com/office/drawing/2014/main" id="{C425FC4E-F028-453D-86BF-D3BE22A2EA0E}"/>
            </a:ext>
          </a:extLst>
        </xdr:cNvPr>
        <xdr:cNvSpPr txBox="1"/>
      </xdr:nvSpPr>
      <xdr:spPr>
        <a:xfrm>
          <a:off x="4362450" y="121920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75C351CC-B733-48C9-A61D-954EEC08BCFB}" type="TxLink">
            <a:rPr lang="en-US" sz="1100" b="0" i="0" u="none" strike="noStrike">
              <a:solidFill>
                <a:srgbClr val="000000"/>
              </a:solidFill>
              <a:latin typeface="Calibri"/>
              <a:ea typeface="Calibri"/>
              <a:cs typeface="Calibri"/>
            </a:rPr>
            <a:pPr algn="ctr"/>
            <a:t>$179.40</a:t>
          </a:fld>
          <a:endParaRPr lang="en-US" sz="1100"/>
        </a:p>
      </xdr:txBody>
    </xdr:sp>
    <xdr:clientData/>
  </xdr:twoCellAnchor>
  <xdr:twoCellAnchor>
    <xdr:from>
      <xdr:col>10</xdr:col>
      <xdr:colOff>304800</xdr:colOff>
      <xdr:row>6</xdr:row>
      <xdr:rowOff>85725</xdr:rowOff>
    </xdr:from>
    <xdr:to>
      <xdr:col>12</xdr:col>
      <xdr:colOff>390525</xdr:colOff>
      <xdr:row>9</xdr:row>
      <xdr:rowOff>47625</xdr:rowOff>
    </xdr:to>
    <xdr:sp macro="" textlink="$L$2">
      <xdr:nvSpPr>
        <xdr:cNvPr id="5" name="TextBox 4">
          <a:extLst>
            <a:ext uri="{FF2B5EF4-FFF2-40B4-BE49-F238E27FC236}">
              <a16:creationId xmlns:a16="http://schemas.microsoft.com/office/drawing/2014/main" id="{23E45D7E-A753-4D1B-B9B6-394FFDDADD7F}"/>
            </a:ext>
          </a:extLst>
        </xdr:cNvPr>
        <xdr:cNvSpPr txBox="1"/>
      </xdr:nvSpPr>
      <xdr:spPr>
        <a:xfrm>
          <a:off x="6610350" y="122872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2495280E-F174-40FE-BF8B-C55344C7D862}" type="TxLink">
            <a:rPr lang="en-US" sz="1100" b="0" i="0" u="none" strike="noStrike">
              <a:solidFill>
                <a:srgbClr val="000000"/>
              </a:solidFill>
              <a:latin typeface="Calibri"/>
              <a:ea typeface="Calibri"/>
              <a:cs typeface="Calibri"/>
            </a:rPr>
            <a:pPr algn="ctr"/>
            <a:t>-$1,111.96</a:t>
          </a:fld>
          <a:endParaRPr lang="en-US" sz="1100"/>
        </a:p>
      </xdr:txBody>
    </xdr:sp>
    <xdr:clientData/>
  </xdr:twoCellAnchor>
  <xdr:twoCellAnchor>
    <xdr:from>
      <xdr:col>13</xdr:col>
      <xdr:colOff>9525</xdr:colOff>
      <xdr:row>6</xdr:row>
      <xdr:rowOff>95250</xdr:rowOff>
    </xdr:from>
    <xdr:to>
      <xdr:col>14</xdr:col>
      <xdr:colOff>514350</xdr:colOff>
      <xdr:row>9</xdr:row>
      <xdr:rowOff>57150</xdr:rowOff>
    </xdr:to>
    <xdr:sp macro="" textlink="$O$2">
      <xdr:nvSpPr>
        <xdr:cNvPr id="6" name="TextBox 5">
          <a:extLst>
            <a:ext uri="{FF2B5EF4-FFF2-40B4-BE49-F238E27FC236}">
              <a16:creationId xmlns:a16="http://schemas.microsoft.com/office/drawing/2014/main" id="{26A41B84-045E-45F9-B34F-DC6066F9684C}"/>
            </a:ext>
          </a:extLst>
        </xdr:cNvPr>
        <xdr:cNvSpPr txBox="1"/>
      </xdr:nvSpPr>
      <xdr:spPr>
        <a:xfrm>
          <a:off x="8420100" y="12382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8F0F7A9-C6D9-4078-A15F-052DEBE01E85}" type="TxLink">
            <a:rPr lang="en-US" sz="1100" b="0" i="0" u="none" strike="noStrike">
              <a:solidFill>
                <a:srgbClr val="000000"/>
              </a:solidFill>
              <a:latin typeface="Calibri"/>
              <a:ea typeface="Calibri"/>
              <a:cs typeface="Calibri"/>
            </a:rPr>
            <a:pPr algn="ctr"/>
            <a:t>19</a:t>
          </a:fld>
          <a:endParaRPr lang="en-US" sz="1100"/>
        </a:p>
      </xdr:txBody>
    </xdr:sp>
    <xdr:clientData/>
  </xdr:twoCellAnchor>
  <xdr:twoCellAnchor>
    <xdr:from>
      <xdr:col>15</xdr:col>
      <xdr:colOff>409575</xdr:colOff>
      <xdr:row>6</xdr:row>
      <xdr:rowOff>161925</xdr:rowOff>
    </xdr:from>
    <xdr:to>
      <xdr:col>18</xdr:col>
      <xdr:colOff>161925</xdr:colOff>
      <xdr:row>9</xdr:row>
      <xdr:rowOff>123825</xdr:rowOff>
    </xdr:to>
    <xdr:sp macro="" textlink="$Q$2">
      <xdr:nvSpPr>
        <xdr:cNvPr id="7" name="TextBox 6">
          <a:extLst>
            <a:ext uri="{FF2B5EF4-FFF2-40B4-BE49-F238E27FC236}">
              <a16:creationId xmlns:a16="http://schemas.microsoft.com/office/drawing/2014/main" id="{10681E35-CAF9-42D6-8786-2165C650291D}"/>
            </a:ext>
          </a:extLst>
        </xdr:cNvPr>
        <xdr:cNvSpPr txBox="1"/>
      </xdr:nvSpPr>
      <xdr:spPr>
        <a:xfrm>
          <a:off x="10506075" y="130492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08E810A-C3DA-4BBE-8203-73FAEBAFCCAF}" type="TxLink">
            <a:rPr lang="en-US" sz="1100" b="0" i="0" u="none" strike="noStrike">
              <a:solidFill>
                <a:srgbClr val="000000"/>
              </a:solidFill>
              <a:latin typeface="Calibri"/>
              <a:ea typeface="Calibri"/>
              <a:cs typeface="Calibri"/>
            </a:rPr>
            <a:pPr algn="ctr"/>
            <a:t>$303.42</a:t>
          </a:fld>
          <a:endParaRPr lang="en-US" sz="1100"/>
        </a:p>
      </xdr:txBody>
    </xdr:sp>
    <xdr:clientData/>
  </xdr:twoCellAnchor>
  <xdr:twoCellAnchor>
    <xdr:from>
      <xdr:col>20</xdr:col>
      <xdr:colOff>590550</xdr:colOff>
      <xdr:row>10</xdr:row>
      <xdr:rowOff>138112</xdr:rowOff>
    </xdr:from>
    <xdr:to>
      <xdr:col>27</xdr:col>
      <xdr:colOff>180975</xdr:colOff>
      <xdr:row>25</xdr:row>
      <xdr:rowOff>23812</xdr:rowOff>
    </xdr:to>
    <xdr:graphicFrame macro="">
      <xdr:nvGraphicFramePr>
        <xdr:cNvPr id="8" name="Chart 7">
          <a:extLst>
            <a:ext uri="{FF2B5EF4-FFF2-40B4-BE49-F238E27FC236}">
              <a16:creationId xmlns:a16="http://schemas.microsoft.com/office/drawing/2014/main" id="{50ED3123-06D1-07EE-7896-C94283555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561975</xdr:colOff>
      <xdr:row>10</xdr:row>
      <xdr:rowOff>80962</xdr:rowOff>
    </xdr:from>
    <xdr:to>
      <xdr:col>35</xdr:col>
      <xdr:colOff>371475</xdr:colOff>
      <xdr:row>24</xdr:row>
      <xdr:rowOff>157162</xdr:rowOff>
    </xdr:to>
    <xdr:graphicFrame macro="">
      <xdr:nvGraphicFramePr>
        <xdr:cNvPr id="9" name="Chart 8">
          <a:extLst>
            <a:ext uri="{FF2B5EF4-FFF2-40B4-BE49-F238E27FC236}">
              <a16:creationId xmlns:a16="http://schemas.microsoft.com/office/drawing/2014/main" id="{C2164EF6-B2B4-8A69-58E4-FF9AB315B0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85725</xdr:colOff>
      <xdr:row>12</xdr:row>
      <xdr:rowOff>52387</xdr:rowOff>
    </xdr:from>
    <xdr:to>
      <xdr:col>42</xdr:col>
      <xdr:colOff>285750</xdr:colOff>
      <xdr:row>26</xdr:row>
      <xdr:rowOff>128587</xdr:rowOff>
    </xdr:to>
    <xdr:graphicFrame macro="">
      <xdr:nvGraphicFramePr>
        <xdr:cNvPr id="10" name="Chart 9">
          <a:extLst>
            <a:ext uri="{FF2B5EF4-FFF2-40B4-BE49-F238E27FC236}">
              <a16:creationId xmlns:a16="http://schemas.microsoft.com/office/drawing/2014/main" id="{07B77C15-2B7B-B961-ECF5-1729C421DF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552450</xdr:colOff>
      <xdr:row>11</xdr:row>
      <xdr:rowOff>71437</xdr:rowOff>
    </xdr:from>
    <xdr:to>
      <xdr:col>50</xdr:col>
      <xdr:colOff>76200</xdr:colOff>
      <xdr:row>25</xdr:row>
      <xdr:rowOff>147637</xdr:rowOff>
    </xdr:to>
    <xdr:graphicFrame macro="">
      <xdr:nvGraphicFramePr>
        <xdr:cNvPr id="12" name="Chart 11">
          <a:extLst>
            <a:ext uri="{FF2B5EF4-FFF2-40B4-BE49-F238E27FC236}">
              <a16:creationId xmlns:a16="http://schemas.microsoft.com/office/drawing/2014/main" id="{54077D68-23D6-F719-696E-13064DB64A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114300</xdr:colOff>
      <xdr:row>6</xdr:row>
      <xdr:rowOff>57150</xdr:rowOff>
    </xdr:from>
    <xdr:to>
      <xdr:col>83</xdr:col>
      <xdr:colOff>476250</xdr:colOff>
      <xdr:row>9</xdr:row>
      <xdr:rowOff>19050</xdr:rowOff>
    </xdr:to>
    <xdr:sp macro="" textlink="$B$2">
      <xdr:nvSpPr>
        <xdr:cNvPr id="15" name="TextBox 14">
          <a:extLst>
            <a:ext uri="{FF2B5EF4-FFF2-40B4-BE49-F238E27FC236}">
              <a16:creationId xmlns:a16="http://schemas.microsoft.com/office/drawing/2014/main" id="{577543DD-2252-4E18-A3C3-6E2F1736249B}"/>
            </a:ext>
          </a:extLst>
        </xdr:cNvPr>
        <xdr:cNvSpPr txBox="1"/>
      </xdr:nvSpPr>
      <xdr:spPr>
        <a:xfrm>
          <a:off x="5374005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D0C08E8B-F1C8-45B9-A7AE-948F87513B16}" type="TxLink">
            <a:rPr lang="en-US" sz="1100" b="0" i="0" u="none" strike="noStrike">
              <a:solidFill>
                <a:srgbClr val="000000"/>
              </a:solidFill>
              <a:latin typeface="Calibri"/>
              <a:ea typeface="Calibri"/>
              <a:cs typeface="Calibri"/>
            </a:rPr>
            <a:pPr algn="ctr"/>
            <a:t>$5,765.00</a:t>
          </a:fld>
          <a:endParaRPr lang="en-US" sz="1100"/>
        </a:p>
      </xdr:txBody>
    </xdr:sp>
    <xdr:clientData/>
  </xdr:twoCellAnchor>
  <xdr:twoCellAnchor>
    <xdr:from>
      <xdr:col>84</xdr:col>
      <xdr:colOff>360045</xdr:colOff>
      <xdr:row>6</xdr:row>
      <xdr:rowOff>57150</xdr:rowOff>
    </xdr:from>
    <xdr:to>
      <xdr:col>87</xdr:col>
      <xdr:colOff>112395</xdr:colOff>
      <xdr:row>9</xdr:row>
      <xdr:rowOff>19050</xdr:rowOff>
    </xdr:to>
    <xdr:sp macro="" textlink="$G$2">
      <xdr:nvSpPr>
        <xdr:cNvPr id="16" name="TextBox 15">
          <a:extLst>
            <a:ext uri="{FF2B5EF4-FFF2-40B4-BE49-F238E27FC236}">
              <a16:creationId xmlns:a16="http://schemas.microsoft.com/office/drawing/2014/main" id="{90DF64C7-4201-4989-9178-924478E532D4}"/>
            </a:ext>
          </a:extLst>
        </xdr:cNvPr>
        <xdr:cNvSpPr txBox="1"/>
      </xdr:nvSpPr>
      <xdr:spPr>
        <a:xfrm>
          <a:off x="5581459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9C2BEC1C-B8AC-479A-B497-6F5956B47339}" type="TxLink">
            <a:rPr lang="en-US" sz="1100" b="0" i="0" u="none" strike="noStrike">
              <a:solidFill>
                <a:srgbClr val="000000"/>
              </a:solidFill>
              <a:latin typeface="Calibri"/>
              <a:ea typeface="Calibri"/>
              <a:cs typeface="Calibri"/>
            </a:rPr>
            <a:pPr algn="ctr"/>
            <a:t>$6,697.56</a:t>
          </a:fld>
          <a:endParaRPr lang="en-US" sz="1100"/>
        </a:p>
      </xdr:txBody>
    </xdr:sp>
    <xdr:clientData/>
  </xdr:twoCellAnchor>
  <xdr:twoCellAnchor>
    <xdr:from>
      <xdr:col>87</xdr:col>
      <xdr:colOff>605790</xdr:colOff>
      <xdr:row>6</xdr:row>
      <xdr:rowOff>57150</xdr:rowOff>
    </xdr:from>
    <xdr:to>
      <xdr:col>90</xdr:col>
      <xdr:colOff>358140</xdr:colOff>
      <xdr:row>9</xdr:row>
      <xdr:rowOff>19050</xdr:rowOff>
    </xdr:to>
    <xdr:sp macro="" textlink="$J$2">
      <xdr:nvSpPr>
        <xdr:cNvPr id="17" name="TextBox 16">
          <a:extLst>
            <a:ext uri="{FF2B5EF4-FFF2-40B4-BE49-F238E27FC236}">
              <a16:creationId xmlns:a16="http://schemas.microsoft.com/office/drawing/2014/main" id="{A2F480F5-7E12-4DBF-A6FA-FEFA9E709847}"/>
            </a:ext>
          </a:extLst>
        </xdr:cNvPr>
        <xdr:cNvSpPr txBox="1"/>
      </xdr:nvSpPr>
      <xdr:spPr>
        <a:xfrm>
          <a:off x="5788914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75C351CC-B733-48C9-A61D-954EEC08BCFB}" type="TxLink">
            <a:rPr lang="en-US" sz="1100" b="0" i="0" u="none" strike="noStrike">
              <a:solidFill>
                <a:srgbClr val="000000"/>
              </a:solidFill>
              <a:latin typeface="Calibri"/>
              <a:ea typeface="Calibri"/>
              <a:cs typeface="Calibri"/>
            </a:rPr>
            <a:pPr algn="ctr"/>
            <a:t>$179.40</a:t>
          </a:fld>
          <a:endParaRPr lang="en-US" sz="1100"/>
        </a:p>
      </xdr:txBody>
    </xdr:sp>
    <xdr:clientData/>
  </xdr:twoCellAnchor>
  <xdr:twoCellAnchor>
    <xdr:from>
      <xdr:col>91</xdr:col>
      <xdr:colOff>241935</xdr:colOff>
      <xdr:row>6</xdr:row>
      <xdr:rowOff>57150</xdr:rowOff>
    </xdr:from>
    <xdr:to>
      <xdr:col>93</xdr:col>
      <xdr:colOff>603885</xdr:colOff>
      <xdr:row>9</xdr:row>
      <xdr:rowOff>19050</xdr:rowOff>
    </xdr:to>
    <xdr:sp macro="" textlink="$L$2">
      <xdr:nvSpPr>
        <xdr:cNvPr id="18" name="TextBox 17">
          <a:extLst>
            <a:ext uri="{FF2B5EF4-FFF2-40B4-BE49-F238E27FC236}">
              <a16:creationId xmlns:a16="http://schemas.microsoft.com/office/drawing/2014/main" id="{E05E5B34-1A3D-4006-BB42-F11A85C5C42E}"/>
            </a:ext>
          </a:extLst>
        </xdr:cNvPr>
        <xdr:cNvSpPr txBox="1"/>
      </xdr:nvSpPr>
      <xdr:spPr>
        <a:xfrm>
          <a:off x="5996368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2495280E-F174-40FE-BF8B-C55344C7D862}" type="TxLink">
            <a:rPr lang="en-US" sz="1100" b="0" i="0" u="none" strike="noStrike">
              <a:solidFill>
                <a:srgbClr val="000000"/>
              </a:solidFill>
              <a:latin typeface="Calibri"/>
              <a:ea typeface="Calibri"/>
              <a:cs typeface="Calibri"/>
            </a:rPr>
            <a:pPr algn="ctr"/>
            <a:t>-$1,111.96</a:t>
          </a:fld>
          <a:endParaRPr lang="en-US" sz="1100"/>
        </a:p>
      </xdr:txBody>
    </xdr:sp>
    <xdr:clientData/>
  </xdr:twoCellAnchor>
  <xdr:twoCellAnchor>
    <xdr:from>
      <xdr:col>94</xdr:col>
      <xdr:colOff>487680</xdr:colOff>
      <xdr:row>6</xdr:row>
      <xdr:rowOff>57150</xdr:rowOff>
    </xdr:from>
    <xdr:to>
      <xdr:col>97</xdr:col>
      <xdr:colOff>240030</xdr:colOff>
      <xdr:row>9</xdr:row>
      <xdr:rowOff>19050</xdr:rowOff>
    </xdr:to>
    <xdr:sp macro="" textlink="$O$2">
      <xdr:nvSpPr>
        <xdr:cNvPr id="19" name="TextBox 18">
          <a:extLst>
            <a:ext uri="{FF2B5EF4-FFF2-40B4-BE49-F238E27FC236}">
              <a16:creationId xmlns:a16="http://schemas.microsoft.com/office/drawing/2014/main" id="{29D7C225-AE9C-4503-B95C-6525EEF9040D}"/>
            </a:ext>
          </a:extLst>
        </xdr:cNvPr>
        <xdr:cNvSpPr txBox="1"/>
      </xdr:nvSpPr>
      <xdr:spPr>
        <a:xfrm>
          <a:off x="6203823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8F0F7A9-C6D9-4078-A15F-052DEBE01E85}" type="TxLink">
            <a:rPr lang="en-US" sz="1100" b="0" i="0" u="none" strike="noStrike">
              <a:solidFill>
                <a:srgbClr val="000000"/>
              </a:solidFill>
              <a:latin typeface="Calibri"/>
              <a:ea typeface="Calibri"/>
              <a:cs typeface="Calibri"/>
            </a:rPr>
            <a:pPr algn="ctr"/>
            <a:t>19</a:t>
          </a:fld>
          <a:endParaRPr lang="en-US" sz="1100"/>
        </a:p>
      </xdr:txBody>
    </xdr:sp>
    <xdr:clientData/>
  </xdr:twoCellAnchor>
  <xdr:twoCellAnchor>
    <xdr:from>
      <xdr:col>98</xdr:col>
      <xdr:colOff>123825</xdr:colOff>
      <xdr:row>6</xdr:row>
      <xdr:rowOff>57150</xdr:rowOff>
    </xdr:from>
    <xdr:to>
      <xdr:col>100</xdr:col>
      <xdr:colOff>485775</xdr:colOff>
      <xdr:row>9</xdr:row>
      <xdr:rowOff>19050</xdr:rowOff>
    </xdr:to>
    <xdr:sp macro="" textlink="$Q$2">
      <xdr:nvSpPr>
        <xdr:cNvPr id="20" name="TextBox 19">
          <a:extLst>
            <a:ext uri="{FF2B5EF4-FFF2-40B4-BE49-F238E27FC236}">
              <a16:creationId xmlns:a16="http://schemas.microsoft.com/office/drawing/2014/main" id="{92279848-E95C-49E7-958E-23D2A6629A5A}"/>
            </a:ext>
          </a:extLst>
        </xdr:cNvPr>
        <xdr:cNvSpPr txBox="1"/>
      </xdr:nvSpPr>
      <xdr:spPr>
        <a:xfrm>
          <a:off x="6411277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08E810A-C3DA-4BBE-8203-73FAEBAFCCAF}" type="TxLink">
            <a:rPr lang="en-US" sz="1100" b="0" i="0" u="none" strike="noStrike">
              <a:solidFill>
                <a:srgbClr val="000000"/>
              </a:solidFill>
              <a:latin typeface="Calibri"/>
              <a:ea typeface="Calibri"/>
              <a:cs typeface="Calibri"/>
            </a:rPr>
            <a:pPr algn="ctr"/>
            <a:t>$303.42</a:t>
          </a:fld>
          <a:endParaRPr lang="en-US" sz="1100"/>
        </a:p>
      </xdr:txBody>
    </xdr:sp>
    <xdr:clientData/>
  </xdr:twoCellAnchor>
  <xdr:twoCellAnchor>
    <xdr:from>
      <xdr:col>81</xdr:col>
      <xdr:colOff>76200</xdr:colOff>
      <xdr:row>10</xdr:row>
      <xdr:rowOff>66675</xdr:rowOff>
    </xdr:from>
    <xdr:to>
      <xdr:col>87</xdr:col>
      <xdr:colOff>350520</xdr:colOff>
      <xdr:row>24</xdr:row>
      <xdr:rowOff>142875</xdr:rowOff>
    </xdr:to>
    <xdr:graphicFrame macro="">
      <xdr:nvGraphicFramePr>
        <xdr:cNvPr id="39" name="Chart 38">
          <a:extLst>
            <a:ext uri="{FF2B5EF4-FFF2-40B4-BE49-F238E27FC236}">
              <a16:creationId xmlns:a16="http://schemas.microsoft.com/office/drawing/2014/main" id="{6818572B-A47C-4DA2-B5C9-9E341CE27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87</xdr:col>
      <xdr:colOff>471488</xdr:colOff>
      <xdr:row>10</xdr:row>
      <xdr:rowOff>66675</xdr:rowOff>
    </xdr:from>
    <xdr:to>
      <xdr:col>94</xdr:col>
      <xdr:colOff>136208</xdr:colOff>
      <xdr:row>24</xdr:row>
      <xdr:rowOff>142875</xdr:rowOff>
    </xdr:to>
    <xdr:graphicFrame macro="">
      <xdr:nvGraphicFramePr>
        <xdr:cNvPr id="40" name="Chart 39">
          <a:extLst>
            <a:ext uri="{FF2B5EF4-FFF2-40B4-BE49-F238E27FC236}">
              <a16:creationId xmlns:a16="http://schemas.microsoft.com/office/drawing/2014/main" id="{BE5B0F9F-96FF-4492-9499-9A1D52CE2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86</xdr:col>
      <xdr:colOff>476250</xdr:colOff>
      <xdr:row>25</xdr:row>
      <xdr:rowOff>161925</xdr:rowOff>
    </xdr:from>
    <xdr:to>
      <xdr:col>100</xdr:col>
      <xdr:colOff>495300</xdr:colOff>
      <xdr:row>34</xdr:row>
      <xdr:rowOff>133350</xdr:rowOff>
    </xdr:to>
    <xdr:graphicFrame macro="">
      <xdr:nvGraphicFramePr>
        <xdr:cNvPr id="41" name="Chart 40">
          <a:extLst>
            <a:ext uri="{FF2B5EF4-FFF2-40B4-BE49-F238E27FC236}">
              <a16:creationId xmlns:a16="http://schemas.microsoft.com/office/drawing/2014/main" id="{8119C6F1-1B83-4B28-8FB7-BF5837D0BB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94</xdr:col>
      <xdr:colOff>268605</xdr:colOff>
      <xdr:row>10</xdr:row>
      <xdr:rowOff>66675</xdr:rowOff>
    </xdr:from>
    <xdr:to>
      <xdr:col>100</xdr:col>
      <xdr:colOff>542925</xdr:colOff>
      <xdr:row>24</xdr:row>
      <xdr:rowOff>142875</xdr:rowOff>
    </xdr:to>
    <xdr:graphicFrame macro="">
      <xdr:nvGraphicFramePr>
        <xdr:cNvPr id="42" name="Chart 41">
          <a:extLst>
            <a:ext uri="{FF2B5EF4-FFF2-40B4-BE49-F238E27FC236}">
              <a16:creationId xmlns:a16="http://schemas.microsoft.com/office/drawing/2014/main" id="{B5D3418B-D4E4-4B25-BE59-8D2020D650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81</xdr:col>
      <xdr:colOff>95250</xdr:colOff>
      <xdr:row>25</xdr:row>
      <xdr:rowOff>171450</xdr:rowOff>
    </xdr:from>
    <xdr:to>
      <xdr:col>86</xdr:col>
      <xdr:colOff>381000</xdr:colOff>
      <xdr:row>34</xdr:row>
      <xdr:rowOff>152400</xdr:rowOff>
    </xdr:to>
    <mc:AlternateContent xmlns:mc="http://schemas.openxmlformats.org/markup-compatibility/2006" xmlns:tsle="http://schemas.microsoft.com/office/drawing/2012/timeslicer">
      <mc:Choice Requires="tsle">
        <xdr:graphicFrame macro="">
          <xdr:nvGraphicFramePr>
            <xdr:cNvPr id="46" name="Date">
              <a:extLst>
                <a:ext uri="{FF2B5EF4-FFF2-40B4-BE49-F238E27FC236}">
                  <a16:creationId xmlns:a16="http://schemas.microsoft.com/office/drawing/2014/main" id="{35BF6DBA-CADC-930C-6A7A-70678399286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04850" y="4943475"/>
              <a:ext cx="3333750" cy="16954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83</xdr:col>
      <xdr:colOff>1</xdr:colOff>
      <xdr:row>36</xdr:row>
      <xdr:rowOff>66675</xdr:rowOff>
    </xdr:from>
    <xdr:to>
      <xdr:col>92</xdr:col>
      <xdr:colOff>47625</xdr:colOff>
      <xdr:row>53</xdr:row>
      <xdr:rowOff>9525</xdr:rowOff>
    </xdr:to>
    <xdr:graphicFrame macro="">
      <xdr:nvGraphicFramePr>
        <xdr:cNvPr id="47" name="Chart 46">
          <a:extLst>
            <a:ext uri="{FF2B5EF4-FFF2-40B4-BE49-F238E27FC236}">
              <a16:creationId xmlns:a16="http://schemas.microsoft.com/office/drawing/2014/main" id="{732DCE88-85D0-E2EF-7E56-3BBA9F7BFE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81</xdr:col>
      <xdr:colOff>57150</xdr:colOff>
      <xdr:row>36</xdr:row>
      <xdr:rowOff>66675</xdr:rowOff>
    </xdr:from>
    <xdr:to>
      <xdr:col>82</xdr:col>
      <xdr:colOff>542925</xdr:colOff>
      <xdr:row>41</xdr:row>
      <xdr:rowOff>57151</xdr:rowOff>
    </xdr:to>
    <mc:AlternateContent xmlns:mc="http://schemas.openxmlformats.org/markup-compatibility/2006" xmlns:a14="http://schemas.microsoft.com/office/drawing/2010/main">
      <mc:Choice Requires="a14">
        <xdr:graphicFrame macro="">
          <xdr:nvGraphicFramePr>
            <xdr:cNvPr id="48" name="Status">
              <a:extLst>
                <a:ext uri="{FF2B5EF4-FFF2-40B4-BE49-F238E27FC236}">
                  <a16:creationId xmlns:a16="http://schemas.microsoft.com/office/drawing/2014/main" id="{C52755F2-3311-270F-E73D-0B4326F3AE3B}"/>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66750" y="6934200"/>
              <a:ext cx="109537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92</xdr:col>
      <xdr:colOff>323850</xdr:colOff>
      <xdr:row>43</xdr:row>
      <xdr:rowOff>180974</xdr:rowOff>
    </xdr:from>
    <xdr:to>
      <xdr:col>100</xdr:col>
      <xdr:colOff>447675</xdr:colOff>
      <xdr:row>53</xdr:row>
      <xdr:rowOff>61911</xdr:rowOff>
    </xdr:to>
    <xdr:graphicFrame macro="">
      <xdr:nvGraphicFramePr>
        <xdr:cNvPr id="49" name="Chart 48">
          <a:extLst>
            <a:ext uri="{FF2B5EF4-FFF2-40B4-BE49-F238E27FC236}">
              <a16:creationId xmlns:a16="http://schemas.microsoft.com/office/drawing/2014/main" id="{9534D11B-B533-10A4-E99A-6B94DA37DD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92</xdr:col>
      <xdr:colOff>314326</xdr:colOff>
      <xdr:row>36</xdr:row>
      <xdr:rowOff>57150</xdr:rowOff>
    </xdr:from>
    <xdr:to>
      <xdr:col>100</xdr:col>
      <xdr:colOff>457200</xdr:colOff>
      <xdr:row>43</xdr:row>
      <xdr:rowOff>95250</xdr:rowOff>
    </xdr:to>
    <mc:AlternateContent xmlns:mc="http://schemas.openxmlformats.org/markup-compatibility/2006" xmlns:tsle="http://schemas.microsoft.com/office/drawing/2012/timeslicer">
      <mc:Choice Requires="tsle">
        <xdr:graphicFrame macro="">
          <xdr:nvGraphicFramePr>
            <xdr:cNvPr id="54" name="DateEx">
              <a:extLst>
                <a:ext uri="{FF2B5EF4-FFF2-40B4-BE49-F238E27FC236}">
                  <a16:creationId xmlns:a16="http://schemas.microsoft.com/office/drawing/2014/main" id="{A855EB41-F715-BD74-DE60-0384E158FF1C}"/>
                </a:ext>
              </a:extLst>
            </xdr:cNvPr>
            <xdr:cNvGraphicFramePr/>
          </xdr:nvGraphicFramePr>
          <xdr:xfrm>
            <a:off x="0" y="0"/>
            <a:ext cx="0" cy="0"/>
          </xdr:xfrm>
          <a:graphic>
            <a:graphicData uri="http://schemas.microsoft.com/office/drawing/2012/timeslicer">
              <tsle:timeslicer name="DateEx"/>
            </a:graphicData>
          </a:graphic>
        </xdr:graphicFrame>
      </mc:Choice>
      <mc:Fallback xmlns="">
        <xdr:sp macro="" textlink="">
          <xdr:nvSpPr>
            <xdr:cNvPr id="0" name=""/>
            <xdr:cNvSpPr>
              <a:spLocks noTextEdit="1"/>
            </xdr:cNvSpPr>
          </xdr:nvSpPr>
          <xdr:spPr>
            <a:xfrm>
              <a:off x="7629526" y="6924675"/>
              <a:ext cx="5019674"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6.953400694445" createdVersion="8" refreshedVersion="8" minRefreshableVersion="3" recordCount="19" xr:uid="{7CE8D69A-DA29-4931-84E8-FEEC00F9B0C7}">
  <cacheSource type="worksheet">
    <worksheetSource name="TableP"/>
  </cacheSource>
  <cacheFields count="10">
    <cacheField name="OrderID" numFmtId="0">
      <sharedItems containsSemiMixedTypes="0" containsString="0" containsNumber="1" containsInteger="1" minValue="1" maxValue="19"/>
    </cacheField>
    <cacheField name="SKU2" numFmtId="0">
      <sharedItems/>
    </cacheField>
    <cacheField name="Date" numFmtId="14">
      <sharedItems containsSemiMixedTypes="0" containsNonDate="0" containsDate="1" containsString="0" minDate="2026-01-06T00:00:00" maxDate="2026-03-06T00:00:00"/>
    </cacheField>
    <cacheField name="Product" numFmtId="0">
      <sharedItems/>
    </cacheField>
    <cacheField name="Link" numFmtId="0">
      <sharedItems longText="1"/>
    </cacheField>
    <cacheField name="CostPrice" numFmtId="164">
      <sharedItems containsSemiMixedTypes="0" containsString="0" containsNumber="1" minValue="64.989999999999995" maxValue="1399.99"/>
    </cacheField>
    <cacheField name="LastPrice" numFmtId="164">
      <sharedItems containsSemiMixedTypes="0" containsString="0" containsNumber="1" minValue="64.989999999999995" maxValue="1499.99"/>
    </cacheField>
    <cacheField name="Delivery" numFmtId="164">
      <sharedItems containsSemiMixedTypes="0" containsString="0" containsNumber="1" containsInteger="1" minValue="0" maxValue="0"/>
    </cacheField>
    <cacheField name="SoldBy" numFmtId="0">
      <sharedItems/>
    </cacheField>
    <cacheField name="Supplie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6.953400925922" createdVersion="8" refreshedVersion="8" minRefreshableVersion="3" recordCount="13" xr:uid="{93920BF2-25C5-4BC8-8BCA-010245C45B66}">
  <cacheSource type="worksheet">
    <worksheetSource name="TableS"/>
  </cacheSource>
  <cacheFields count="8">
    <cacheField name="OrderID" numFmtId="0">
      <sharedItems containsSemiMixedTypes="0" containsString="0" containsNumber="1" containsInteger="1" minValue="1" maxValue="16"/>
    </cacheField>
    <cacheField name="Date" numFmtId="14">
      <sharedItems containsSemiMixedTypes="0" containsNonDate="0" containsDate="1" containsString="0" minDate="2026-01-08T00:00:00" maxDate="2026-09-02T00:00:00" count="13">
        <d v="2026-01-08T00:00:00"/>
        <d v="2026-01-09T00:00:00"/>
        <d v="2026-01-13T00:00:00"/>
        <d v="2026-01-14T00:00:00"/>
        <d v="2026-01-15T00:00:00"/>
        <d v="2026-01-16T00:00:00"/>
        <d v="2026-01-17T00:00:00"/>
        <d v="2026-01-19T00:00:00"/>
        <d v="2026-01-20T00:00:00"/>
        <d v="2026-03-05T00:00:00"/>
        <d v="2026-02-20T00:00:00" u="1"/>
        <d v="2026-08-01T00:00:00" u="1"/>
        <d v="2026-09-01T00:00:00" u="1"/>
      </sharedItems>
    </cacheField>
    <cacheField name="Platform" numFmtId="0">
      <sharedItems count="2">
        <s v="Facebook"/>
        <s v="Whatsapp"/>
      </sharedItems>
    </cacheField>
    <cacheField name="CustomerName" numFmtId="0">
      <sharedItems count="13">
        <s v="John S."/>
        <s v="Maria C."/>
        <s v="Karen K."/>
        <s v="Jose C."/>
        <s v="Jesus C."/>
        <s v="Pedro P."/>
        <s v="Pablo P."/>
        <s v="Ismael N."/>
        <s v="Lot S."/>
        <s v="Ben H."/>
        <s v="Maria M."/>
        <s v="Mesala C."/>
        <s v="Sam S."/>
      </sharedItems>
    </cacheField>
    <cacheField name="SKU" numFmtId="0">
      <sharedItems count="6">
        <s v="LAPTOP01"/>
        <s v="CPU01"/>
        <s v="CASE01"/>
        <s v="GPU01"/>
        <s v="RAM01"/>
        <s v="MONITOR01"/>
      </sharedItems>
    </cacheField>
    <cacheField name="Product" numFmtId="0">
      <sharedItems/>
    </cacheField>
    <cacheField name="PaymentMethod" numFmtId="0">
      <sharedItems/>
    </cacheField>
    <cacheField name="PriceSale" numFmtId="164">
      <sharedItems containsSemiMixedTypes="0" containsString="0" containsNumber="1" containsInteger="1" minValue="100" maxValue="1800"/>
    </cacheField>
  </cacheFields>
  <extLst>
    <ext xmlns:x14="http://schemas.microsoft.com/office/spreadsheetml/2009/9/main" uri="{725AE2AE-9491-48be-B2B4-4EB974FC3084}">
      <x14:pivotCacheDefinition pivotCacheId="9137231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6.95340150463" createdVersion="8" refreshedVersion="8" minRefreshableVersion="3" recordCount="30" xr:uid="{4BABCA60-CCC1-49F5-A28E-CFEE38825B9A}">
  <cacheSource type="worksheet">
    <worksheetSource name="TableE"/>
  </cacheSource>
  <cacheFields count="6">
    <cacheField name="ExpenseIDEx" numFmtId="0">
      <sharedItems/>
    </cacheField>
    <cacheField name="DateEx" numFmtId="14">
      <sharedItems containsSemiMixedTypes="0" containsNonDate="0" containsDate="1" containsString="0" minDate="2025-01-01T00:00:00" maxDate="2026-03-06T00:00:00" count="26">
        <d v="2026-01-01T00:00:00"/>
        <d v="2026-01-02T00:00:00"/>
        <d v="2026-01-03T00:00:00"/>
        <d v="2026-01-04T00:00:00"/>
        <d v="2026-01-05T00:00:00"/>
        <d v="2026-01-06T00:00:00"/>
        <d v="2026-01-07T00:00:00"/>
        <d v="2026-01-08T00:00:00"/>
        <d v="2026-01-10T00:00:00"/>
        <d v="2026-01-11T00:00:00"/>
        <d v="2026-01-12T00:00:00"/>
        <d v="2026-01-17T00:00:00"/>
        <d v="2026-02-05T00:00:00"/>
        <d v="2026-02-06T00:00:00"/>
        <d v="2026-02-18T00:00:00"/>
        <d v="2026-02-20T00:00:00"/>
        <d v="2026-02-22T00:00:00"/>
        <d v="2026-02-25T00:00:00"/>
        <d v="2026-03-05T00:00:00"/>
        <d v="2025-01-01T00:00:00" u="1"/>
        <d v="2025-01-02T00:00:00" u="1"/>
        <d v="2025-01-03T00:00:00" u="1"/>
        <d v="2025-01-04T00:00:00" u="1"/>
        <d v="2025-01-05T00:00:00" u="1"/>
        <d v="2025-01-06T00:00:00" u="1"/>
        <d v="2025-01-07T00:00:00" u="1"/>
      </sharedItems>
    </cacheField>
    <cacheField name="CategoryEx" numFmtId="0">
      <sharedItems count="4">
        <s v="Packaging"/>
        <s v="Supplies"/>
        <s v="Tools"/>
        <s v="Transport"/>
      </sharedItems>
    </cacheField>
    <cacheField name="DescriptionEx" numFmtId="0">
      <sharedItems/>
    </cacheField>
    <cacheField name="AmountEx" numFmtId="164">
      <sharedItems containsSemiMixedTypes="0" containsString="0" containsNumber="1" minValue="1" maxValue="15"/>
    </cacheField>
    <cacheField name="PaymentMethodEx" numFmtId="0">
      <sharedItems/>
    </cacheField>
  </cacheFields>
  <extLst>
    <ext xmlns:x14="http://schemas.microsoft.com/office/spreadsheetml/2009/9/main" uri="{725AE2AE-9491-48be-B2B4-4EB974FC3084}">
      <x14:pivotCacheDefinition pivotCacheId="19282265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6.953401967592" createdVersion="8" refreshedVersion="8" minRefreshableVersion="3" recordCount="19" xr:uid="{F21F2A37-5524-4674-B638-2CBFA3FA6F8B}">
  <cacheSource type="worksheet">
    <worksheetSource name="TableI"/>
  </cacheSource>
  <cacheFields count="7">
    <cacheField name="OrderID" numFmtId="0">
      <sharedItems containsSemiMixedTypes="0" containsString="0" containsNumber="1" containsInteger="1" minValue="1" maxValue="19"/>
    </cacheField>
    <cacheField name="SKU" numFmtId="0">
      <sharedItems count="7">
        <s v="LAPTOP01"/>
        <s v="CPU01"/>
        <s v="CASE01"/>
        <s v="GPU01"/>
        <s v="RAM01"/>
        <s v="MONITOR01"/>
        <s v="POWER01"/>
      </sharedItems>
    </cacheField>
    <cacheField name="Product" numFmtId="0">
      <sharedItems/>
    </cacheField>
    <cacheField name="Purchased" numFmtId="164">
      <sharedItems containsSemiMixedTypes="0" containsString="0" containsNumber="1" minValue="64.989999999999995" maxValue="1399.99"/>
    </cacheField>
    <cacheField name="Sold" numFmtId="164">
      <sharedItems containsSemiMixedTypes="0" containsString="0" containsNumber="1" containsInteger="1" minValue="0" maxValue="1800"/>
    </cacheField>
    <cacheField name="Profit" numFmtId="164">
      <sharedItems containsSemiMixedTypes="0" containsString="0" containsNumber="1" minValue="0" maxValue="400.01"/>
    </cacheField>
    <cacheField name="Status" numFmtId="0">
      <sharedItems count="4">
        <s v="Sold"/>
        <s v="Available"/>
        <s v="Vendido" u="1"/>
        <s v="Disponible" u="1"/>
      </sharedItems>
    </cacheField>
  </cacheFields>
  <extLst>
    <ext xmlns:x14="http://schemas.microsoft.com/office/spreadsheetml/2009/9/main" uri="{725AE2AE-9491-48be-B2B4-4EB974FC3084}">
      <x14:pivotCacheDefinition pivotCacheId="5845959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n v="1"/>
    <s v="LAPTOP01"/>
    <d v="2026-01-06T00:00:00"/>
    <s v="EYY 16&quot; Laptop Computer Intel Core i5 Processor, Win 11 Pro Laptop 16GB RAM 512GB SSD, 1920 x 1200 FHD 16:10 Display, Office Suite Notebook with Backlit Keyboard, Student Business Work Laptops"/>
    <s v="amazon.com/EYY-16-Laptop-Computer-Processor/dp/B0F53V8WR5/ref=sr_1_3?crid=1N8613JPYIKD2&amp;dib=eyJ2IjoiMSJ9.ZhGmIZr7oXnma6fsnRWTpqMrGJblYqmoBLJMe98QeQ9TClV4L2AbmZYAeQsXdf-jMgGq0XhOvRi841K1jn7NXfYuG35_o4JCXgILyeoxsb-anwyvG64zzuaOWJNDmOfAty6FuuenL406NiiAQGesEinQTQ8xtgydzuQFDEA4ybYcGM2I-mcwTJ3W_kNmZspwb9y5eeyB0ktVIjAresUB2mGa5xTokAFERqj3jAqrNyca-QVd6Fs71l4P8egOjd0lCQdGFImuoms865BmV5SeznYE7qv8Lzif4BH5kGpfmik.mweUzw1gn9NZFefd9rTu7y4ISaO_me6PHtKxVqwvZIE&amp;dib_tag=se&amp;keywords=EYY+16&quot;+Laptop+Computer+Intel+Core+i5+Processor%2C+Win+11+Pro+Laptop+16GB+RAM+512GB+SSD%2C+1920+x+1200+FHD+16%3A10+Display%2C+Office+Suite+Notebook+with+Backlit+Keyboard%2C+Student+Business+Work+Laptops&amp;nsdOptOutParam=true&amp;qid=1772214347&amp;s=electronics&amp;sprefix=eyy+16+laptop+computer+intel+core+i5+processor%2C+win+11+pro+laptop+16gb+ram+512gb+ssd%2C+1920+x+1200+fhd+16+10+display%2C+office+suite+notebook+with+backlit+keyboard%2C+student+business+work+laptops%2Celectronics%2C317&amp;sr=1-3"/>
    <n v="339.99"/>
    <n v="379.99"/>
    <n v="0"/>
    <s v="EYY Official"/>
    <s v="Amazon"/>
  </r>
  <r>
    <n v="2"/>
    <s v="CPU01"/>
    <d v="2026-01-08T00:00:00"/>
    <s v="AMD Ryzen 7 7800X3D 8-Core, 16-Thread Desktop Processor"/>
    <s v="amazon.com/AMD-7700X-16-Thread-Unlocked-Processor/dp/B0BBHHT8LY/ref=sr_1_3?crid=3D8S4S9A6MWXT&amp;dib=eyJ2IjoiMSJ9.2Y6U30Ota4udzXAMcBoddbvOJdnr-cqlWL8hkA0dH2dpm45LJNN7XVnvrhtUjqO5gIKGNI2B1z8IK1H70IqjkSGSz1egfg9aXtfwF9ifZqS3-ykt-XVO6m2fyXHCFW0eQhYi_e4T7Zpfa7sOkIvJZMLD0zJ1kgV1R9RM3YiYxQ6btIB-ogkWiEdNRW5oKqk3cqbfdKHrUoZbSgmIzPyNFibJkuZNMznzCX3T24ZDD_GuSut_W8uyiwEjtZgCR8-UQlB2rv0UGk6HWbyDEUMolu_NQs-cghrZN0SOilVESes.AlSsKXEuf4TzlSRwZYKly4IF2HxdX3zEeL4pJApM7Iw&amp;dib_tag=se&amp;keywords=AMD+Ryzen+7+7800X3D+8-Core%2C+16-Thread+Desktop+Processor&amp;nsdOptOutParam=true&amp;qid=1772214424&amp;s=electronics&amp;sprefix=amd+ryzen+7+7800x3d+8-core%2C+16-thread+desktop+processor%2Celectronics%2C348&amp;sr=1-3"/>
    <n v="247.45"/>
    <n v="399"/>
    <n v="0"/>
    <s v="AMD Store"/>
    <s v="Amazon"/>
  </r>
  <r>
    <n v="3"/>
    <s v="CPU01"/>
    <d v="2026-01-08T00:00:00"/>
    <s v="AMD Ryzen™ 7 5800XT 8-Core, 16-Thread Unlocked Desktop Processor"/>
    <s v="amazon.com/AMD-RyzenTM-5800XT-16-Thread-Processor/dp/B0D6NNDQ92/ref=sr_1_1?crid=3BIFVEGD3IPBH&amp;dib=eyJ2IjoiMSJ9.boc-kpOwnqefKsqzbY5v_NhIdx8iWx-neNCydFupIBM_Wx0C5cicK6iI5iuHan2XcBm_JCpi0Q-qPZxSZw6I8g6F3kYmAfh48SskM3VOM0b3Ua8KvZl5BGciP6XeJllEDhrGklYlMa3hKlviD7NTyPOd6_QHf0_v-NuRVCsCAdSk1RCdpZhKBQUyf3c-A7rpGmjzdhhTywsyyPGYfMx8scnGB188zTXss66Ciz_jgKuZK8av8d0VUCkcPN_UGa7iLw8X7wq3hyb3SEpeWOp-nynT53HAdju5zzCV5L4oOCI.tMjMlHlMIAJ2saSs-d8kmlZa8K1K6YzZul_DHhpoPAY&amp;dib_tag=se&amp;keywords=AMD+Ryzen%E2%84%A2+7+5800XT+8-Core%2C+16-Thread+Unlocked+Desktop+Processor&amp;nsdOptOutParam=true&amp;qid=1772214504&amp;s=electronics&amp;sprefix=amd+ryzen+7+5800xt+8-core%2C+16-thread+unlocked+desktop+processor%2Celectronics%2C434&amp;sr=1-1"/>
    <n v="207"/>
    <n v="249"/>
    <n v="0"/>
    <s v="TheTechGroup"/>
    <s v="Amazon"/>
  </r>
  <r>
    <n v="4"/>
    <s v="CASE01"/>
    <d v="2026-01-09T00:00:00"/>
    <s v="F300 (2025) PC Case - Pre-Installed 4 No RGB Fan, ATX Mid-Tower Gaming PC Case, 270° Panoramic Glass with Type-C, FOIFKIN (Black)"/>
    <s v="amazon.com/FOIFKIN-F300-Case-Pre-Installed-Mid-Tower/dp/B0DFWVJ8B2/ref=sxin_17_pa_sp_search_thematic_sspa?content-id=amzn1.sym.0e63c542-6545-4d26-a66a-b8a3e11008ab%3Aamzn1.sym.0e63c542-6545-4d26-a66a-b8a3e11008ab&amp;crid=1CCKRYFQVBLKT&amp;cv_ct_cx=case&amp;keywords=case&amp;pd_rd_i=B0DFWVJ8B2&amp;pd_rd_r=000c1c4c-3e4e-45f7-a064-06c2613f6f6e&amp;pd_rd_w=3ovs9&amp;pd_rd_wg=eOiOq&amp;pf_rd_p=0e63c542-6545-4d26-a66a-b8a3e11008ab&amp;pf_rd_r=R5CPZHX8CRBG9ZQR6FTT&amp;qid=1772222663&amp;s=electronics&amp;sbo=RZvfv%2F%2FHxDF%2BO5021pAnSA%3D%3D&amp;sprefix=c%2Celectronics%2C286&amp;sr=1-3-9dc94291-be46-4d4b-806d-52c7d80051d3-spons&amp;aref=DB611RDhl6&amp;sp_csd=d2lkZ2V0TmFtZT1zcF9zZWFyY2hfdGhlbWF0aWM&amp;th=1"/>
    <n v="64.989999999999995"/>
    <n v="64.989999999999995"/>
    <n v="0"/>
    <s v="FOIFKIN"/>
    <s v="Amazon"/>
  </r>
  <r>
    <n v="5"/>
    <s v="CASE01"/>
    <d v="2026-01-12T00:00:00"/>
    <s v="darkFlash ATX Mid-Tower PC Case, Pre-Install 4 PWM ARGB Fans Computer Case, Full View Dual Tempered Glass Gaming PC Case, Type C Port, Supports up to 360mm Water Cooling Radiator, Black(DS900)"/>
    <s v="amazon.com/darkFlash-Mid-Tower-Pre-Install-Computer-DS900/dp/B0CQJGG4JT/ref=sxin_17_pa_sp_search_thematic_sspa?content-id=amzn1.sym.0e63c542-6545-4d26-a66a-b8a3e11008ab%3Aamzn1.sym.0e63c542-6545-4d26-a66a-b8a3e11008ab&amp;crid=1CCKRYFQVBLKT&amp;cv_ct_cx=case&amp;keywords=case&amp;pd_rd_i=B0CQJGG4JT&amp;pd_rd_r=000c1c4c-3e4e-45f7-a064-06c2613f6f6e&amp;pd_rd_w=3ovs9&amp;pd_rd_wg=eOiOq&amp;pf_rd_p=0e63c542-6545-4d26-a66a-b8a3e11008ab&amp;pf_rd_r=R5CPZHX8CRBG9ZQR6FTT&amp;qid=1772222663&amp;s=electronics&amp;sbo=RZvfv%2F%2FHxDF%2BO5021pAnSA%3D%3D&amp;sprefix=c%2Celectronics%2C286&amp;sr=1-1-9dc94291-be46-4d4b-806d-52c7d80051d3-spons&amp;aref=Ruw4t96Gn9&amp;sp_csd=d2lkZ2V0TmFtZT1zcF9zZWFyY2hfdGhlbWF0aWM&amp;th=1"/>
    <n v="82.99"/>
    <n v="82.99"/>
    <n v="0"/>
    <s v="Hestia Delight"/>
    <s v="Amazon"/>
  </r>
  <r>
    <n v="6"/>
    <s v="CASE01"/>
    <d v="2026-02-02T00:00:00"/>
    <s v="NZXT H5 Flow 2024 - Compact ATX Mid-Tower PC Gaming Case - High Airflow - 2 x 120mm Fans Included - 360mm Front &amp; 240mm Top Radiator Support - Cable Management System - Tempered Glass - Black"/>
    <s v="amazon.com/NZXT-Flow-2024-Mid-Tower-Management/dp/B0D2MK6NML/ref=sr_1_7?crid=1CCKRYFQVBLKT&amp;dib=eyJ2IjoiMSJ9.TAo3IO3C-d4YsXedTKADbq6hilRJZ5ZWQ1neQslU4BqgAf3f0ETpyDyPdB_flk71-Ayyei3Z3RnslPdfHVw6C97YWSnK4yLzEfy6aNqe40MwyKeEN9J2H16f_A2ONE57duBSW7zdyy_4XH6II1za1BOFy9Pg66ri__rSn6ywb_vyqoOr6EYz-zjhd2c2R37tyj_M7xM7wGC1C1pc5YQsMe7QqM6_QDrslpgwwcRqxvzLMYCrsTuERXrT3uRQ45OVMdCaUykh5TT9Mm2jlJy7zMYehgncUuln0efh5iX5Ijs.1Qm0HoTOLF4fseA4pf1thA2r6p3h79zHUPbrd_f4TLk&amp;dib_tag=se&amp;keywords=case&amp;qid=1772222663&amp;s=electronics&amp;sprefix=c%2Celectronics%2C286&amp;sr=1-7&amp;th=1"/>
    <n v="84.99"/>
    <n v="94.99"/>
    <n v="0"/>
    <s v="Amazon.com"/>
    <s v="Amazon"/>
  </r>
  <r>
    <n v="7"/>
    <s v="GPU01"/>
    <d v="2026-02-02T00:00:00"/>
    <s v="Sapphire 11339-04-20G Pulse AMD Radeon RX 7600 XT Gaming Graphics Card with 16GB GDDR6, AMD RDNA 3"/>
    <s v="amazon.com/Sapphire-11339-04-20G-RADEON-Gaming-Graphics/dp/B0CTD21LW1"/>
    <n v="501.26"/>
    <n v="561.26"/>
    <n v="0"/>
    <s v="OneDealOutlet Online"/>
    <s v="Amazon"/>
  </r>
  <r>
    <n v="8"/>
    <s v="GPU01"/>
    <d v="2026-02-12T00:00:00"/>
    <s v="maxsun Graphics Card GeForce RTX 3060 Ti OC Edtion 8G Vidoe Gaming Computer Graphics Cards for Copmputer Gaming PC PCI Express 4.0 x16 HDMI 2.1 GPU (GDDR6 8G)"/>
    <s v="amazon.com/maxsun-Graphics-GeForce-Computer-Copmputer/dp/B0F2MFC26C?th=1"/>
    <n v="318.99"/>
    <n v="378.99"/>
    <n v="0"/>
    <s v="MAXSUN Official Store"/>
    <s v="Amazon"/>
  </r>
  <r>
    <n v="9"/>
    <s v="LAPTOP01"/>
    <d v="2026-02-13T00:00:00"/>
    <s v="ASUS ROG Strix G16 (2025) Gaming Laptop, 16” FHD+ 16:10 165Hz/3ms Display, NVIDIA® GeForce RTX™ 5060 Laptop GPU, Intel® Core™ i7 Processor 14650HX, 16GB DDR5, 1TB Gen 4 SSD, Wi-Fi 7, Windows 11 Home"/>
    <s v="amazon.com/ASUS-ROG-Strix-Gaming-Laptop/dp/B0DZZWMB2L?th=1"/>
    <n v="1399.99"/>
    <n v="1499.99"/>
    <n v="0"/>
    <s v="Amazon.com"/>
    <s v="Amazon"/>
  </r>
  <r>
    <n v="10"/>
    <s v="RAM01"/>
    <d v="2026-02-15T00:00:00"/>
    <s v="CORSAIR Vengeance LPX DDR4 RAM 32GB (2x16GB) 3200MHz CL16-20-20-38 1.35V Intel AMD Desktop Computer Memory - Black (CMK32GX4M2E3200C16)"/>
    <s v="amazon.com/Corsair-VENGEANCE-3200MHz-Compatible-Computer/dp/B07RW6Z692/ref=sr_1_4?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4"/>
    <n v="192.99"/>
    <n v="242.99"/>
    <n v="0"/>
    <s v="Amazon.com"/>
    <s v="Amazon"/>
  </r>
  <r>
    <n v="11"/>
    <s v="RAM01"/>
    <d v="2026-02-17T00:00:00"/>
    <s v="CORSAIR Vengence RGB DDR5 RAM 32GB (2x16GB) 6000MHz CL36-44-44-96 1.35V Intel XMP 3.0 Computer Memory – Black (CMH32GX5M2E6000C36)"/>
    <s v="amazon.com/CORSAIR-VENGEANCE-6000MHz-Compatible-Computer/dp/B0BZHTVHN5/ref=sr_1_6?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6&amp;th=1"/>
    <n v="351.99"/>
    <n v="411.99"/>
    <n v="0"/>
    <s v="Amazon.com"/>
    <s v="Amazon"/>
  </r>
  <r>
    <n v="12"/>
    <s v="MONITOR01"/>
    <d v="2026-02-19T00:00:00"/>
    <s v="SANSUI 32 Inch Curved 240Hz Gaming Monitor High Refresh Rate, FHD 1080P Gaming PC Monitor HDMI DP1.4, Curved 1500R, 1Ms MPRT, HDR,Metal Stand,VESA Compatible(DP Cable Incl.)"/>
    <s v="amazon.com/SANSUI-Monitor-Compatible-ES-G32C3F-Included/dp/B0DD7GPXFH/ref=sxin_17_pa_sp_search_thematic_sspa?content-id=amzn1.sym.218067fd-b344-4093-ab6c-6f5555bf2ed6%3Aamzn1.sym.218067fd-b344-4093-ab6c-6f5555bf2ed6&amp;crid=38ECJ5KCQW262&amp;cv_ct_cx=monitor&amp;keywords=monitor&amp;pd_rd_i=B0DD7GPXFH&amp;pd_rd_r=a2ee0c35-109b-43f5-931b-eba1a3724a25&amp;pd_rd_w=uYfH2&amp;pd_rd_wg=TFteA&amp;pf_rd_p=218067fd-b344-4093-ab6c-6f5555bf2ed6&amp;pf_rd_r=Y9NW7Y5EJ3R20A421ZDA&amp;qid=1772228658&amp;s=electronics&amp;sbo=RZvfv%2F%2FHxDF%2BO5021pAnSA%3D%3D&amp;sprefix=monit%2Celectronics%2C327&amp;sr=1-1-82c53dfb-e7ac-41f3-9604-355dc7747827-spons&amp;aref=nSYEz07zEG&amp;sp_csd=d2lkZ2V0TmFtZT1zcF9zZWFyY2hfdGhlbWF0aWM&amp;th=1"/>
    <n v="179.99"/>
    <n v="259.99"/>
    <n v="0"/>
    <s v="SANSUI MONITOR"/>
    <s v="Amazon"/>
  </r>
  <r>
    <n v="13"/>
    <s v="MONITOR01"/>
    <d v="2026-02-20T00:00:00"/>
    <s v="ArcticPro 27inch 240Hz Curved Gaming Monitor, FHD 1080p, 1ms Response Time, 4000:1 Contrast, PC Monitor, Adaptive sync, 3-Sided Frameless, Ultra Slim, 120% sRGB, Bluelight Filter,HDMI &amp; DP Ports,Black"/>
    <s v="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
    <n v="125.99"/>
    <n v="125.99"/>
    <n v="0"/>
    <s v="Yulian Tech"/>
    <s v="Amazon"/>
  </r>
  <r>
    <n v="14"/>
    <s v="MONITOR01"/>
    <d v="2026-02-21T00:00:00"/>
    <s v="Dell 27 Plus 4K Monitor - S2725QS - 27-inch 4K (3840 x 2160) 120Hz 16:9 Display, IPS Panel, AMD FreeSync Premium, sRGB 99%, Integrated Speakers, 1500:1 Contrast Ratio, Comfortview - Ash White"/>
    <s v="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
    <n v="239.99"/>
    <n v="299.99"/>
    <n v="0"/>
    <s v="Amazon.com"/>
    <s v="Amazon"/>
  </r>
  <r>
    <n v="15"/>
    <s v="RAM01"/>
    <d v="2026-02-22T00:00:00"/>
    <s v="G.SKILL Trident Z5 Royal Neo Series DDR5 RAM (AMD EXPO) 32GB (2x16GB) 6000MT/s CL28-36-36-96 1.40V Desktop Computer Memory U-DIMM - Silver (F5-6000J2836G16GX2-TR5NS)"/>
    <s v="amazon.com/G-SKILL-Trident-CL28-36-36-96-Desktop-Computer/dp/B0DD2LKVMD/ref=sr_1_14?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4&amp;th=1"/>
    <n v="599.99"/>
    <n v="599.99"/>
    <n v="0"/>
    <s v="RACERSPEED INC."/>
    <s v="Amazon"/>
  </r>
  <r>
    <n v="16"/>
    <s v="RAM01"/>
    <d v="2026-02-23T00:00:00"/>
    <s v="Crucial Pro 32GB DDR5 RAM Kit (2x16GB),CL36 6000MHz, Overclocking Desktop Gaming Memory, Intel XMP 3.0 &amp; AMD Expo Compatible, Black - CP2K16G60C36U5B"/>
    <s v="amazon.com/Crucial-6000MHz-Overclocking-Desktop-Compatible/dp/B0CTHXMYL8/ref=sr_1_16?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6"/>
    <n v="369"/>
    <n v="369"/>
    <n v="0"/>
    <s v="Micom Pro"/>
    <s v="Amazon"/>
  </r>
  <r>
    <n v="17"/>
    <s v="RAM01"/>
    <d v="2026-02-24T00:00:00"/>
    <s v="G.SKILL Trident Z RGB Series DDR4 RAM (XMP) 32GB (2x16GB) 3600MT/s CL18-22-22-42 1.35V Intel AMD Desktop Computer Memory U-DIMM (F4-3600C18D-32GTZR)"/>
    <s v="amazon.com/G-Skill-Trident-PC4-28800-CL18-22-22-42-F4-3600C18D-32GTZR/dp/B08176KLZT/ref=sr_1_20?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20&amp;th=1"/>
    <n v="319.99"/>
    <n v="319.99"/>
    <n v="0"/>
    <s v="RACERSPEED INC."/>
    <s v="Amazon"/>
  </r>
  <r>
    <n v="18"/>
    <s v="LAPTOP01"/>
    <d v="2026-02-25T00:00:00"/>
    <s v="Apple 2025 MacBook Air 13-inch Laptop with M4 chip: Built for Apple Intelligence, 13.6-inch Liquid Retina Display, 16GB Unified Memory, 256GB SSD Storage, 12MP Center Stage Camera, Touch ID; Midnight"/>
    <s v="amazon.com/Apple-2025-MacBook-13-inch-Laptop/dp/B0DZD9S5GC/ref=sxin_28_sbv_search_btf?content-id=amzn1.sym.c8b39f81-ded8-4d75-80c2-6dfa03cbb699%3Aamzn1.sym.c8b39f81-ded8-4d75-80c2-6dfa03cbb699&amp;crid=KOBX4NV5G5CZ&amp;cv_ct_cx=laptop&amp;keywords=laptop&amp;pd_rd_i=B0DZD9S5GC&amp;pd_rd_r=7016e201-ada9-40ef-8841-3b99435278bd&amp;pd_rd_w=8sBx0&amp;pd_rd_wg=DhyNO&amp;pf_rd_p=c8b39f81-ded8-4d75-80c2-6dfa03cbb699&amp;pf_rd_r=YY4HY0STAWJPMRKX1WQK&amp;qid=1772572281&amp;s=electronics&amp;sbo=RZvfv%2F%2FHxDF%2BO5021pAnSA%3D%3D&amp;sprefix=lap%2Celectronics%2C325&amp;sr=1-1-5190daf0-67e3-427c-bea6-c72c1df98776&amp;th=1"/>
    <n v="949.99"/>
    <n v="999"/>
    <n v="0"/>
    <s v="Amazon.com"/>
    <s v="Amazon"/>
  </r>
  <r>
    <n v="19"/>
    <s v="POWER01"/>
    <d v="2026-03-05T00:00:00"/>
    <s v="MSI MAG A850GL PCIE5, Fully Modular Compact Gaming 850W Power Supply, 80+ Gold, ATX 3.1 &amp; PCIe 5.1 Ready, Native Dual-Color 12V-2x6 Cable, 10 Year Warranty"/>
    <s v="amazon.com/A850GL-Modular-Compact-Dual-Color-Warranty/dp/B0CB9MSJ5N/ref=sr_1_1?crid=V02CXE668QFO&amp;dib=eyJ2IjoiMSJ9.DdkQ438xKw7_JEDOAuPQ-w.ATRZOdyzMQmyfsL7kdciszMR5n1gGt8qJhvegm3gucw&amp;dib_tag=se&amp;keywords=fuente%2Bdepoder&amp;qid=1772764524&amp;s=electronics&amp;sprefix=fuente%2Bdepo%2Celectronics%2C341&amp;sr=1-1&amp;th=1"/>
    <n v="119.99"/>
    <n v="129.99"/>
    <n v="0"/>
    <s v="Amazon.com"/>
    <s v="Amaz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1"/>
    <x v="0"/>
    <x v="0"/>
    <x v="0"/>
    <x v="0"/>
    <s v="EYY 16&quot; Laptop Computer Intel Core i5 Processor, Win 11 Pro Laptop 16GB RAM 512GB SSD, 1920 x 1200 FHD 16:10 Display, Office Suite Notebook with Backlit Keyboard, Student Business Work Laptops"/>
    <s v="Online Transfer"/>
    <n v="415"/>
  </r>
  <r>
    <n v="3"/>
    <x v="1"/>
    <x v="0"/>
    <x v="1"/>
    <x v="1"/>
    <s v="AMD Ryzen™ 7 5800XT 8-Core, 16-Thread Unlocked Desktop Processor"/>
    <s v="Online Transfer"/>
    <n v="300"/>
  </r>
  <r>
    <n v="5"/>
    <x v="2"/>
    <x v="0"/>
    <x v="2"/>
    <x v="2"/>
    <s v="darkFlash ATX Mid-Tower PC Case, Pre-Install 4 PWM ARGB Fans Computer Case, Full View Dual Tempered Glass Gaming PC Case, Type C Port, Supports up to 360mm Water Cooling Radiator, Black(DS900)"/>
    <s v="Online Transfer"/>
    <n v="150"/>
  </r>
  <r>
    <n v="2"/>
    <x v="2"/>
    <x v="0"/>
    <x v="3"/>
    <x v="1"/>
    <s v="AMD Ryzen 7 7800X3D 8-Core, 16-Thread Desktop Processor"/>
    <s v="Online Transfer"/>
    <n v="310"/>
  </r>
  <r>
    <n v="4"/>
    <x v="3"/>
    <x v="0"/>
    <x v="4"/>
    <x v="2"/>
    <s v="F300 (2025) PC Case - Pre-Installed 4 No RGB Fan, ATX Mid-Tower Gaming PC Case, 270° Panoramic Glass with Type-C, FOIFKIN (Black)"/>
    <s v="Online Transfer"/>
    <n v="100"/>
  </r>
  <r>
    <n v="8"/>
    <x v="4"/>
    <x v="0"/>
    <x v="5"/>
    <x v="3"/>
    <s v="maxsun Graphics Card GeForce RTX 3060 Ti OC Edtion 8G Vidoe Gaming Computer Graphics Cards for Copmputer Gaming PC PCI Express 4.0 x16 HDMI 2.1 GPU (GDDR6 8G)"/>
    <s v="Online Transfer"/>
    <n v="400"/>
  </r>
  <r>
    <n v="10"/>
    <x v="5"/>
    <x v="1"/>
    <x v="6"/>
    <x v="4"/>
    <s v="CORSAIR Vengeance LPX DDR4 RAM 32GB (2x16GB) 3200MHz CL16-20-20-38 1.35V Intel AMD Desktop Computer Memory - Black (CMK32GX4M2E3200C16)"/>
    <s v="Online Transfer"/>
    <n v="250"/>
  </r>
  <r>
    <n v="9"/>
    <x v="6"/>
    <x v="1"/>
    <x v="7"/>
    <x v="0"/>
    <s v="ASUS ROG Strix G16 (2025) Gaming Laptop, 16” FHD+ 16:10 165Hz/3ms Display, NVIDIA® GeForce RTX™ 5060 Laptop GPU, Intel® Core™ i7 Processor 14650HX, 16GB DDR5, 1TB Gen 4 SSD, Wi-Fi 7, Windows 11 Home"/>
    <s v="Cash"/>
    <n v="1800"/>
  </r>
  <r>
    <n v="6"/>
    <x v="6"/>
    <x v="1"/>
    <x v="8"/>
    <x v="2"/>
    <s v="NZXT H5 Flow 2024 - Compact ATX Mid-Tower PC Gaming Case - High Airflow - 2 x 120mm Fans Included - 360mm Front &amp; 240mm Top Radiator Support - Cable Management System - Tempered Glass - Black"/>
    <s v="Cash"/>
    <n v="140"/>
  </r>
  <r>
    <n v="11"/>
    <x v="7"/>
    <x v="1"/>
    <x v="9"/>
    <x v="4"/>
    <s v="CORSAIR Vengence RGB DDR5 RAM 32GB (2x16GB) 6000MHz CL36-44-44-96 1.35V Intel XMP 3.0 Computer Memory – Black (CMH32GX5M2E6000C36)"/>
    <s v="Cash"/>
    <n v="420"/>
  </r>
  <r>
    <n v="7"/>
    <x v="7"/>
    <x v="1"/>
    <x v="10"/>
    <x v="3"/>
    <s v="Sapphire 11339-04-20G Pulse AMD Radeon RX 7600 XT Gaming Graphics Card with 16GB GDDR6, AMD RDNA 3"/>
    <s v="Cash"/>
    <n v="800"/>
  </r>
  <r>
    <n v="12"/>
    <x v="8"/>
    <x v="0"/>
    <x v="11"/>
    <x v="5"/>
    <s v="SANSUI 32 Inch Curved 240Hz Gaming Monitor High Refresh Rate, FHD 1080P Gaming PC Monitor HDMI DP1.4, Curved 1500R, 1Ms MPRT, HDR,Metal Stand,VESA Compatible(DP Cable Incl.)"/>
    <s v="Online Transfer"/>
    <n v="260"/>
  </r>
  <r>
    <n v="16"/>
    <x v="9"/>
    <x v="1"/>
    <x v="12"/>
    <x v="4"/>
    <s v="Crucial Pro 32GB DDR5 RAM Kit (2x16GB),CL36 6000MHz, Overclocking Desktop Gaming Memory, Intel XMP 3.0 &amp; AMD Expo Compatible, Black - CP2K16G60C36U5B"/>
    <s v="Cash"/>
    <n v="42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EXP-0001"/>
    <x v="0"/>
    <x v="0"/>
    <s v="Boxes (medium size) for CPUs and GPUs"/>
    <n v="4.5"/>
    <s v="Cash"/>
  </r>
  <r>
    <s v="EXP-0002"/>
    <x v="0"/>
    <x v="0"/>
    <s v="Anti-static bags (pack of 20)"/>
    <n v="6"/>
    <s v="Cash"/>
  </r>
  <r>
    <s v="EXP-0003"/>
    <x v="0"/>
    <x v="1"/>
    <s v="Isopropyl alcohol for cleaning components"/>
    <n v="3.5"/>
    <s v="Cash"/>
  </r>
  <r>
    <s v="EXP-0004"/>
    <x v="1"/>
    <x v="2"/>
    <s v="Screwdriver set for assembly/testing"/>
    <n v="6"/>
    <s v="Online Transfer"/>
  </r>
  <r>
    <s v="EXP-0005"/>
    <x v="1"/>
    <x v="0"/>
    <s v="Bubble wrap roll for GPUs and monitors"/>
    <n v="5"/>
    <s v="Cash"/>
  </r>
  <r>
    <s v="EXP-0006"/>
    <x v="2"/>
    <x v="0"/>
    <s v="Packing tape (2 units)"/>
    <n v="2.4"/>
    <s v="Cash"/>
  </r>
  <r>
    <s v="EXP-0007"/>
    <x v="2"/>
    <x v="1"/>
    <s v="Cleaning cloths (microfiber)"/>
    <n v="2"/>
    <s v="Cash"/>
  </r>
  <r>
    <s v="EXP-0008"/>
    <x v="2"/>
    <x v="3"/>
    <s v="Courier to bring anti-static bags"/>
    <n v="6"/>
    <s v="Online Transfer"/>
  </r>
  <r>
    <s v="EXP-0009"/>
    <x v="3"/>
    <x v="1"/>
    <s v="Thermal paste for CPU testing"/>
    <n v="4.5"/>
    <s v="Cash"/>
  </r>
  <r>
    <s v="EXP-0010"/>
    <x v="3"/>
    <x v="0"/>
    <s v="Labels for product identification"/>
    <n v="1"/>
    <s v="Cash"/>
  </r>
  <r>
    <s v="EXP-0011"/>
    <x v="4"/>
    <x v="2"/>
    <s v="Brush set for dust cleaning"/>
    <n v="2.5"/>
    <s v="Cash"/>
  </r>
  <r>
    <s v="EXP-0012"/>
    <x v="5"/>
    <x v="0"/>
    <s v="Small boxes (pack of 5) for mice and RAM"/>
    <n v="2.5"/>
    <s v="Cash"/>
  </r>
  <r>
    <s v="EXP-0013"/>
    <x v="5"/>
    <x v="1"/>
    <s v="General cleaning materials"/>
    <n v="3"/>
    <s v="Cash"/>
  </r>
  <r>
    <s v="EXP-0014"/>
    <x v="5"/>
    <x v="0"/>
    <s v="Anti-static bags (restock)"/>
    <n v="3"/>
    <s v="Cash"/>
  </r>
  <r>
    <s v="EXP-0015"/>
    <x v="6"/>
    <x v="3"/>
    <s v="Courier to bring keyboards and monitors"/>
    <n v="7"/>
    <s v="Online Transfer"/>
  </r>
  <r>
    <s v="EXP-0016"/>
    <x v="6"/>
    <x v="0"/>
    <s v="Bubble wrap refill"/>
    <n v="4"/>
    <s v="Cash"/>
  </r>
  <r>
    <s v="EXP-0017"/>
    <x v="6"/>
    <x v="1"/>
    <s v="Alcohol + cloths combo (extra)"/>
    <n v="4"/>
    <s v="Cash"/>
  </r>
  <r>
    <s v="EXP-0018"/>
    <x v="6"/>
    <x v="2"/>
    <s v="Cutter for packaging"/>
    <n v="1.5"/>
    <s v="Cash"/>
  </r>
  <r>
    <s v="EXP-0019"/>
    <x v="7"/>
    <x v="3"/>
    <s v="Delivery fee for order 1"/>
    <n v="9"/>
    <s v="Cash"/>
  </r>
  <r>
    <s v="EXP-0020"/>
    <x v="8"/>
    <x v="3"/>
    <s v="Delivery fee for order 2"/>
    <n v="8"/>
    <s v="Cash"/>
  </r>
  <r>
    <s v="EXP-0021"/>
    <x v="9"/>
    <x v="3"/>
    <s v="Delivery fee for order 3"/>
    <n v="8"/>
    <s v="Cash"/>
  </r>
  <r>
    <s v="EXP-0022"/>
    <x v="10"/>
    <x v="3"/>
    <s v="Delivery fee for order 4"/>
    <n v="9"/>
    <s v="Cash"/>
  </r>
  <r>
    <s v="EXP-0023"/>
    <x v="11"/>
    <x v="3"/>
    <s v="Delivery fee for order 5"/>
    <n v="9"/>
    <s v="Cash"/>
  </r>
  <r>
    <s v="EXP-0024"/>
    <x v="12"/>
    <x v="3"/>
    <s v="Delivery fee for order 6"/>
    <n v="8"/>
    <s v="Cash"/>
  </r>
  <r>
    <s v="EXP-0025"/>
    <x v="13"/>
    <x v="3"/>
    <s v="Delivery fee for order 7"/>
    <n v="10"/>
    <s v="Cash"/>
  </r>
  <r>
    <s v="EXP-0026"/>
    <x v="14"/>
    <x v="3"/>
    <s v="Delivery fee for order 8"/>
    <n v="9"/>
    <s v="Cash"/>
  </r>
  <r>
    <s v="EXP-0027"/>
    <x v="15"/>
    <x v="3"/>
    <s v="Delivery fee for order 9"/>
    <n v="12"/>
    <s v="Cash"/>
  </r>
  <r>
    <s v="EXP-0028"/>
    <x v="16"/>
    <x v="3"/>
    <s v="Delivery fee for order 10"/>
    <n v="7"/>
    <s v="Cash"/>
  </r>
  <r>
    <s v="EXP-0029"/>
    <x v="17"/>
    <x v="3"/>
    <s v="Delivery fee for order 11"/>
    <n v="7"/>
    <s v="Cash"/>
  </r>
  <r>
    <s v="EXP-0030"/>
    <x v="18"/>
    <x v="3"/>
    <s v="Delivery fee for order 16"/>
    <n v="15"/>
    <s v="Cash"/>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n v="1"/>
    <x v="0"/>
    <s v="EYY 16&quot; Laptop Computer Intel Core i5 Processor, Win 11 Pro Laptop 16GB RAM 512GB SSD, 1920 x 1200 FHD 16:10 Display, Office Suite Notebook with Backlit Keyboard, Student Business Work Laptops"/>
    <n v="339.99"/>
    <n v="415"/>
    <n v="75.009999999999991"/>
    <x v="0"/>
  </r>
  <r>
    <n v="2"/>
    <x v="1"/>
    <s v="AMD Ryzen 7 7800X3D 8-Core, 16-Thread Desktop Processor"/>
    <n v="247.45"/>
    <n v="310"/>
    <n v="62.550000000000011"/>
    <x v="0"/>
  </r>
  <r>
    <n v="3"/>
    <x v="1"/>
    <s v="AMD Ryzen™ 7 5800XT 8-Core, 16-Thread Unlocked Desktop Processor"/>
    <n v="207"/>
    <n v="300"/>
    <n v="93"/>
    <x v="0"/>
  </r>
  <r>
    <n v="4"/>
    <x v="2"/>
    <s v="F300 (2025) PC Case - Pre-Installed 4 No RGB Fan, ATX Mid-Tower Gaming PC Case, 270° Panoramic Glass with Type-C, FOIFKIN (Black)"/>
    <n v="64.989999999999995"/>
    <n v="100"/>
    <n v="35.010000000000005"/>
    <x v="0"/>
  </r>
  <r>
    <n v="5"/>
    <x v="2"/>
    <s v="darkFlash ATX Mid-Tower PC Case, Pre-Install 4 PWM ARGB Fans Computer Case, Full View Dual Tempered Glass Gaming PC Case, Type C Port, Supports up to 360mm Water Cooling Radiator, Black(DS900)"/>
    <n v="82.99"/>
    <n v="150"/>
    <n v="67.010000000000005"/>
    <x v="0"/>
  </r>
  <r>
    <n v="6"/>
    <x v="2"/>
    <s v="NZXT H5 Flow 2024 - Compact ATX Mid-Tower PC Gaming Case - High Airflow - 2 x 120mm Fans Included - 360mm Front &amp; 240mm Top Radiator Support - Cable Management System - Tempered Glass - Black"/>
    <n v="84.99"/>
    <n v="140"/>
    <n v="55.010000000000005"/>
    <x v="0"/>
  </r>
  <r>
    <n v="7"/>
    <x v="3"/>
    <s v="Sapphire 11339-04-20G Pulse AMD Radeon RX 7600 XT Gaming Graphics Card with 16GB GDDR6, AMD RDNA 3"/>
    <n v="501.26"/>
    <n v="800"/>
    <n v="298.74"/>
    <x v="0"/>
  </r>
  <r>
    <n v="8"/>
    <x v="3"/>
    <s v="maxsun Graphics Card GeForce RTX 3060 Ti OC Edtion 8G Vidoe Gaming Computer Graphics Cards for Copmputer Gaming PC PCI Express 4.0 x16 HDMI 2.1 GPU (GDDR6 8G)"/>
    <n v="318.99"/>
    <n v="400"/>
    <n v="81.009999999999991"/>
    <x v="0"/>
  </r>
  <r>
    <n v="9"/>
    <x v="0"/>
    <s v="ASUS ROG Strix G16 (2025) Gaming Laptop, 16” FHD+ 16:10 165Hz/3ms Display, NVIDIA® GeForce RTX™ 5060 Laptop GPU, Intel® Core™ i7 Processor 14650HX, 16GB DDR5, 1TB Gen 4 SSD, Wi-Fi 7, Windows 11 Home"/>
    <n v="1399.99"/>
    <n v="1800"/>
    <n v="400.01"/>
    <x v="0"/>
  </r>
  <r>
    <n v="10"/>
    <x v="4"/>
    <s v="CORSAIR Vengeance LPX DDR4 RAM 32GB (2x16GB) 3200MHz CL16-20-20-38 1.35V Intel AMD Desktop Computer Memory - Black (CMK32GX4M2E3200C16)"/>
    <n v="192.99"/>
    <n v="250"/>
    <n v="57.009999999999991"/>
    <x v="0"/>
  </r>
  <r>
    <n v="11"/>
    <x v="4"/>
    <s v="CORSAIR Vengence RGB DDR5 RAM 32GB (2x16GB) 6000MHz CL36-44-44-96 1.35V Intel XMP 3.0 Computer Memory – Black (CMH32GX5M2E6000C36)"/>
    <n v="351.99"/>
    <n v="420"/>
    <n v="68.009999999999991"/>
    <x v="0"/>
  </r>
  <r>
    <n v="12"/>
    <x v="5"/>
    <s v="SANSUI 32 Inch Curved 240Hz Gaming Monitor High Refresh Rate, FHD 1080P Gaming PC Monitor HDMI DP1.4, Curved 1500R, 1Ms MPRT, HDR,Metal Stand,VESA Compatible(DP Cable Incl.)"/>
    <n v="179.99"/>
    <n v="260"/>
    <n v="80.009999999999991"/>
    <x v="0"/>
  </r>
  <r>
    <n v="13"/>
    <x v="5"/>
    <s v="ArcticPro 27inch 240Hz Curved Gaming Monitor, FHD 1080p, 1ms Response Time, 4000:1 Contrast, PC Monitor, Adaptive sync, 3-Sided Frameless, Ultra Slim, 120% sRGB, Bluelight Filter,HDMI &amp; DP Ports,Black"/>
    <n v="125.99"/>
    <n v="0"/>
    <n v="0"/>
    <x v="1"/>
  </r>
  <r>
    <n v="14"/>
    <x v="5"/>
    <s v="Dell 27 Plus 4K Monitor - S2725QS - 27-inch 4K (3840 x 2160) 120Hz 16:9 Display, IPS Panel, AMD FreeSync Premium, sRGB 99%, Integrated Speakers, 1500:1 Contrast Ratio, Comfortview - Ash White"/>
    <n v="239.99"/>
    <n v="0"/>
    <n v="0"/>
    <x v="1"/>
  </r>
  <r>
    <n v="15"/>
    <x v="4"/>
    <s v="G.SKILL Trident Z5 Royal Neo Series DDR5 RAM (AMD EXPO) 32GB (2x16GB) 6000MT/s CL28-36-36-96 1.40V Desktop Computer Memory U-DIMM - Silver (F5-6000J2836G16GX2-TR5NS)"/>
    <n v="599.99"/>
    <n v="0"/>
    <n v="0"/>
    <x v="1"/>
  </r>
  <r>
    <n v="16"/>
    <x v="4"/>
    <s v="Crucial Pro 32GB DDR5 RAM Kit (2x16GB),CL36 6000MHz, Overclocking Desktop Gaming Memory, Intel XMP 3.0 &amp; AMD Expo Compatible, Black - CP2K16G60C36U5B"/>
    <n v="369"/>
    <n v="420"/>
    <n v="51"/>
    <x v="0"/>
  </r>
  <r>
    <n v="17"/>
    <x v="4"/>
    <s v="G.SKILL Trident Z RGB Series DDR4 RAM (XMP) 32GB (2x16GB) 3600MT/s CL18-22-22-42 1.35V Intel AMD Desktop Computer Memory U-DIMM (F4-3600C18D-32GTZR)"/>
    <n v="319.99"/>
    <n v="0"/>
    <n v="0"/>
    <x v="1"/>
  </r>
  <r>
    <n v="18"/>
    <x v="0"/>
    <s v="Apple 2025 MacBook Air 13-inch Laptop with M4 chip: Built for Apple Intelligence, 13.6-inch Liquid Retina Display, 16GB Unified Memory, 256GB SSD Storage, 12MP Center Stage Camera, Touch ID; Midnight"/>
    <n v="949.99"/>
    <n v="0"/>
    <n v="0"/>
    <x v="1"/>
  </r>
  <r>
    <n v="19"/>
    <x v="6"/>
    <s v="MSI MAG A850GL PCIE5, Fully Modular Compact Gaming 850W Power Supply, 80+ Gold, ATX 3.1 &amp; PCIe 5.1 Ready, Native Dual-Color 12V-2x6 Cable, 10 Year Warranty"/>
    <n v="119.99"/>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730E8B-F7BC-424B-824A-D8989DEEB060}" name="PivotTable9"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D1:AE9" firstHeaderRow="1" firstDataRow="1" firstDataCol="1"/>
  <pivotFields count="7">
    <pivotField showAll="0"/>
    <pivotField axis="axisRow" showAll="0">
      <items count="8">
        <item x="2"/>
        <item x="1"/>
        <item x="3"/>
        <item x="0"/>
        <item x="5"/>
        <item x="4"/>
        <item x="6"/>
        <item t="default"/>
      </items>
    </pivotField>
    <pivotField showAll="0"/>
    <pivotField numFmtId="164" showAll="0"/>
    <pivotField numFmtId="164" showAll="0"/>
    <pivotField dataField="1" numFmtId="164" showAll="0"/>
    <pivotField showAll="0"/>
  </pivotFields>
  <rowFields count="1">
    <field x="1"/>
  </rowFields>
  <rowItems count="8">
    <i>
      <x/>
    </i>
    <i>
      <x v="1"/>
    </i>
    <i>
      <x v="2"/>
    </i>
    <i>
      <x v="3"/>
    </i>
    <i>
      <x v="4"/>
    </i>
    <i>
      <x v="5"/>
    </i>
    <i>
      <x v="6"/>
    </i>
    <i t="grand">
      <x/>
    </i>
  </rowItems>
  <colItems count="1">
    <i/>
  </colItems>
  <dataFields count="1">
    <dataField name="Sum of Profit" fld="5"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F7200C-460D-425A-9B4F-B4461FCE829A}" name="PivotTable6"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I2" firstHeaderRow="1" firstDataRow="1" firstDataCol="0"/>
  <pivotFields count="6">
    <pivotField showAll="0"/>
    <pivotField showAll="0"/>
    <pivotField showAll="0"/>
    <pivotField showAll="0"/>
    <pivotField dataField="1" showAll="0"/>
    <pivotField showAll="0"/>
  </pivotFields>
  <rowItems count="1">
    <i/>
  </rowItems>
  <colItems count="1">
    <i/>
  </colItems>
  <dataFields count="1">
    <dataField name="Sum of AmountEx" fld="4" baseField="0" baseItem="0" numFmtId="16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0136AE-4929-4F7A-B6B2-419072BE88E9}" name="PivotTable8" cacheId="7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V1:W8" firstHeaderRow="1" firstDataRow="1" firstDataCol="1"/>
  <pivotFields count="8">
    <pivotField showAll="0"/>
    <pivotField showAll="0"/>
    <pivotField showAll="0"/>
    <pivotField showAll="0"/>
    <pivotField axis="axisRow" showAll="0">
      <items count="7">
        <item x="2"/>
        <item x="1"/>
        <item x="3"/>
        <item x="0"/>
        <item x="5"/>
        <item x="4"/>
        <item t="default"/>
      </items>
    </pivotField>
    <pivotField showAll="0"/>
    <pivotField showAll="0"/>
    <pivotField dataField="1" numFmtId="164" showAll="0"/>
  </pivotFields>
  <rowFields count="1">
    <field x="4"/>
  </rowFields>
  <rowItems count="7">
    <i>
      <x/>
    </i>
    <i>
      <x v="1"/>
    </i>
    <i>
      <x v="2"/>
    </i>
    <i>
      <x v="3"/>
    </i>
    <i>
      <x v="4"/>
    </i>
    <i>
      <x v="5"/>
    </i>
    <i t="grand">
      <x/>
    </i>
  </rowItems>
  <colItems count="1">
    <i/>
  </colItems>
  <dataFields count="1">
    <dataField name="Sum of PriceSale" fld="7"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36"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C3316E-01AF-4FDE-A98F-3934D05DD942}" name="PivotTable11"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S1:AT6" firstHeaderRow="1" firstDataRow="1" firstDataCol="1"/>
  <pivotFields count="6">
    <pivotField showAll="0"/>
    <pivotField showAll="0"/>
    <pivotField axis="axisRow" showAll="0">
      <items count="5">
        <item x="0"/>
        <item x="1"/>
        <item x="2"/>
        <item x="3"/>
        <item t="default"/>
      </items>
    </pivotField>
    <pivotField showAll="0"/>
    <pivotField dataField="1" showAll="0"/>
    <pivotField showAll="0"/>
  </pivotFields>
  <rowFields count="1">
    <field x="2"/>
  </rowFields>
  <rowItems count="5">
    <i>
      <x/>
    </i>
    <i>
      <x v="1"/>
    </i>
    <i>
      <x v="2"/>
    </i>
    <i>
      <x v="3"/>
    </i>
    <i t="grand">
      <x/>
    </i>
  </rowItems>
  <colItems count="1">
    <i/>
  </colItems>
  <dataFields count="1">
    <dataField name="Sum of AmountEx" fld="4" baseField="0" baseItem="0"/>
  </dataFields>
  <formats count="2">
    <format dxfId="9">
      <pivotArea collapsedLevelsAreSubtotals="1" fieldPosition="0">
        <references count="1">
          <reference field="2" count="0"/>
        </references>
      </pivotArea>
    </format>
    <format dxfId="8">
      <pivotArea grandRow="1"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471D4D-58AD-4484-B56F-610F1843E04B}" name="PivotTable7"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N2" firstHeaderRow="1" firstDataRow="1" firstDataCol="0"/>
  <pivotFields count="7">
    <pivotField dataField="1" showAll="0"/>
    <pivotField showAll="0"/>
    <pivotField showAll="0"/>
    <pivotField numFmtId="164" showAll="0"/>
    <pivotField numFmtId="164" showAll="0"/>
    <pivotField numFmtId="164" showAll="0"/>
    <pivotField showAll="0"/>
  </pivotFields>
  <rowItems count="1">
    <i/>
  </rowItems>
  <colItems count="1">
    <i/>
  </colItems>
  <dataFields count="1">
    <dataField name="Count of Ord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E2FCA9-B632-4898-BBEF-74C6148CE0D9}" name="PivotTable17" cacheId="7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S3:BT8" firstHeaderRow="1" firstDataRow="1" firstDataCol="1" rowPageCount="1" colPageCount="1"/>
  <pivotFields count="6">
    <pivotField showAll="0"/>
    <pivotField axis="axisPage" numFmtId="14" showAll="0">
      <items count="27">
        <item m="1" x="19"/>
        <item m="1" x="20"/>
        <item m="1" x="21"/>
        <item m="1" x="22"/>
        <item m="1" x="23"/>
        <item m="1" x="24"/>
        <item m="1" x="25"/>
        <item x="0"/>
        <item x="1"/>
        <item x="2"/>
        <item x="3"/>
        <item x="4"/>
        <item x="5"/>
        <item x="6"/>
        <item x="7"/>
        <item x="8"/>
        <item x="9"/>
        <item x="10"/>
        <item x="11"/>
        <item x="12"/>
        <item x="13"/>
        <item x="14"/>
        <item x="15"/>
        <item x="16"/>
        <item x="17"/>
        <item x="18"/>
        <item t="default"/>
      </items>
    </pivotField>
    <pivotField axis="axisRow" showAll="0">
      <items count="5">
        <item x="0"/>
        <item x="1"/>
        <item x="2"/>
        <item x="3"/>
        <item t="default"/>
      </items>
    </pivotField>
    <pivotField showAll="0"/>
    <pivotField dataField="1" numFmtId="164" showAll="0"/>
    <pivotField showAll="0"/>
  </pivotFields>
  <rowFields count="1">
    <field x="2"/>
  </rowFields>
  <rowItems count="5">
    <i>
      <x/>
    </i>
    <i>
      <x v="1"/>
    </i>
    <i>
      <x v="2"/>
    </i>
    <i>
      <x v="3"/>
    </i>
    <i t="grand">
      <x/>
    </i>
  </rowItems>
  <colItems count="1">
    <i/>
  </colItems>
  <pageFields count="1">
    <pageField fld="1" hier="-1"/>
  </pageFields>
  <dataFields count="1">
    <dataField name="Sum of AmountEx" fld="4" baseField="0" baseItem="0" numFmtId="164"/>
  </dataFields>
  <pivotTableStyleInfo name="PivotStyleLight16" showRowHeaders="1" showColHeaders="1" showRowStripes="0" showColStripes="0" showLastColumn="1"/>
  <filters count="1">
    <filter fld="1" type="dateBetween" evalOrder="-1" id="8" name="DateEx">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FA7F3F-5880-454E-A36A-E8CED99E8861}" name="PivotTable10" cacheId="7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K1:AL12" firstHeaderRow="1" firstDataRow="1" firstDataCol="1"/>
  <pivotFields count="8">
    <pivotField showAll="0"/>
    <pivotField axis="axisRow" showAll="0" sortType="ascending" defaultSubtotal="0">
      <items count="13">
        <item x="0"/>
        <item x="1"/>
        <item x="2"/>
        <item x="3"/>
        <item x="4"/>
        <item x="5"/>
        <item x="6"/>
        <item x="7"/>
        <item x="8"/>
        <item m="1" x="10"/>
        <item x="9"/>
        <item m="1" x="11"/>
        <item m="1" x="12"/>
      </items>
    </pivotField>
    <pivotField showAll="0"/>
    <pivotField showAll="0"/>
    <pivotField showAll="0"/>
    <pivotField showAll="0"/>
    <pivotField showAll="0"/>
    <pivotField dataField="1" numFmtId="164" showAll="0"/>
  </pivotFields>
  <rowFields count="1">
    <field x="1"/>
  </rowFields>
  <rowItems count="11">
    <i>
      <x/>
    </i>
    <i>
      <x v="1"/>
    </i>
    <i>
      <x v="2"/>
    </i>
    <i>
      <x v="3"/>
    </i>
    <i>
      <x v="4"/>
    </i>
    <i>
      <x v="5"/>
    </i>
    <i>
      <x v="6"/>
    </i>
    <i>
      <x v="7"/>
    </i>
    <i>
      <x v="8"/>
    </i>
    <i>
      <x v="10"/>
    </i>
    <i t="grand">
      <x/>
    </i>
  </rowItems>
  <colItems count="1">
    <i/>
  </colItems>
  <dataFields count="1">
    <dataField name="Sum of PriceSale" fld="7" baseField="0" baseItem="0" numFmtId="164"/>
  </dataFields>
  <formats count="1">
    <format dxfId="10">
      <pivotArea dataOnly="0" labelOnly="1" fieldPosition="0">
        <references count="1">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73" nam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82E3955-525B-407D-B600-73B6DDEAF619}" name="PivotTable12"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A3:BD11" firstHeaderRow="0" firstDataRow="1" firstDataCol="1" rowPageCount="1" colPageCount="1"/>
  <pivotFields count="7">
    <pivotField showAll="0"/>
    <pivotField axis="axisRow" showAll="0">
      <items count="8">
        <item x="2"/>
        <item x="1"/>
        <item x="3"/>
        <item x="0"/>
        <item x="5"/>
        <item x="4"/>
        <item x="6"/>
        <item t="default"/>
      </items>
    </pivotField>
    <pivotField showAll="0"/>
    <pivotField dataField="1" numFmtId="164" showAll="0"/>
    <pivotField dataField="1" numFmtId="164" showAll="0"/>
    <pivotField dataField="1" numFmtId="164" showAll="0"/>
    <pivotField axis="axisPage" multipleItemSelectionAllowed="1" showAll="0">
      <items count="5">
        <item h="1" m="1" x="3"/>
        <item h="1" m="1" x="2"/>
        <item x="0"/>
        <item x="1"/>
        <item t="default"/>
      </items>
    </pivotField>
  </pivotFields>
  <rowFields count="1">
    <field x="1"/>
  </rowFields>
  <rowItems count="8">
    <i>
      <x/>
    </i>
    <i>
      <x v="1"/>
    </i>
    <i>
      <x v="2"/>
    </i>
    <i>
      <x v="3"/>
    </i>
    <i>
      <x v="4"/>
    </i>
    <i>
      <x v="5"/>
    </i>
    <i>
      <x v="6"/>
    </i>
    <i t="grand">
      <x/>
    </i>
  </rowItems>
  <colFields count="1">
    <field x="-2"/>
  </colFields>
  <colItems count="3">
    <i>
      <x/>
    </i>
    <i i="1">
      <x v="1"/>
    </i>
    <i i="2">
      <x v="2"/>
    </i>
  </colItems>
  <pageFields count="1">
    <pageField fld="6" hier="-1"/>
  </pageFields>
  <dataFields count="3">
    <dataField name="Sum of Purchased" fld="3" baseField="0" baseItem="0" numFmtId="164"/>
    <dataField name="Sum of Sold" fld="4" baseField="0" baseItem="0" numFmtId="164"/>
    <dataField name="Sum of Profit" fld="5"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C024A89-8D89-40F4-8FEE-6AF1AE140F25}" name="PivotTable5" cacheId="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0">
    <pivotField showAll="0"/>
    <pivotField showAll="0"/>
    <pivotField showAll="0"/>
    <pivotField showAll="0"/>
    <pivotField showAll="0"/>
    <pivotField dataField="1" numFmtId="164" showAll="0"/>
    <pivotField numFmtId="164" showAll="0"/>
    <pivotField numFmtId="164" showAll="0"/>
    <pivotField showAll="0"/>
    <pivotField showAll="0"/>
  </pivotFields>
  <rowItems count="1">
    <i/>
  </rowItems>
  <colItems count="1">
    <i/>
  </colItems>
  <dataFields count="1">
    <dataField name="Sum of CostPrice" fld="5" baseField="0" baseItem="0" numFmtId="164"/>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95E790-B5D9-4874-A04A-F33600C20157}" name="PivotTable13" cacheId="7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H4:BO15" firstHeaderRow="1" firstDataRow="2" firstDataCol="1" rowPageCount="2" colPageCount="1"/>
  <pivotFields count="8">
    <pivotField showAll="0"/>
    <pivotField axis="axisRow" showAll="0">
      <items count="14">
        <item x="0"/>
        <item x="1"/>
        <item x="2"/>
        <item x="3"/>
        <item x="4"/>
        <item x="5"/>
        <item x="6"/>
        <item x="7"/>
        <item x="8"/>
        <item m="1" x="11"/>
        <item m="1" x="12"/>
        <item m="1" x="10"/>
        <item x="9"/>
        <item t="default"/>
      </items>
    </pivotField>
    <pivotField axis="axisPage" showAll="0">
      <items count="3">
        <item x="0"/>
        <item x="1"/>
        <item t="default"/>
      </items>
    </pivotField>
    <pivotField axis="axisPage" showAll="0">
      <items count="14">
        <item x="9"/>
        <item x="7"/>
        <item x="4"/>
        <item x="0"/>
        <item x="3"/>
        <item x="2"/>
        <item x="8"/>
        <item x="1"/>
        <item x="10"/>
        <item x="11"/>
        <item x="6"/>
        <item x="5"/>
        <item x="12"/>
        <item t="default"/>
      </items>
    </pivotField>
    <pivotField axis="axisCol" showAll="0">
      <items count="7">
        <item x="2"/>
        <item x="1"/>
        <item x="3"/>
        <item x="0"/>
        <item x="5"/>
        <item x="4"/>
        <item t="default"/>
      </items>
    </pivotField>
    <pivotField showAll="0"/>
    <pivotField showAll="0"/>
    <pivotField dataField="1" numFmtId="164" showAll="0"/>
  </pivotFields>
  <rowFields count="1">
    <field x="1"/>
  </rowFields>
  <rowItems count="10">
    <i>
      <x/>
    </i>
    <i>
      <x v="1"/>
    </i>
    <i>
      <x v="2"/>
    </i>
    <i>
      <x v="3"/>
    </i>
    <i>
      <x v="4"/>
    </i>
    <i>
      <x v="5"/>
    </i>
    <i>
      <x v="6"/>
    </i>
    <i>
      <x v="7"/>
    </i>
    <i>
      <x v="8"/>
    </i>
    <i t="grand">
      <x/>
    </i>
  </rowItems>
  <colFields count="1">
    <field x="4"/>
  </colFields>
  <colItems count="7">
    <i>
      <x/>
    </i>
    <i>
      <x v="1"/>
    </i>
    <i>
      <x v="2"/>
    </i>
    <i>
      <x v="3"/>
    </i>
    <i>
      <x v="4"/>
    </i>
    <i>
      <x v="5"/>
    </i>
    <i t="grand">
      <x/>
    </i>
  </colItems>
  <pageFields count="2">
    <pageField fld="2" hier="-1"/>
    <pageField fld="3" hier="-1"/>
  </pageFields>
  <dataFields count="1">
    <dataField name="Sum of PriceSale" fld="7" baseField="0" baseItem="0" numFmtId="164"/>
  </dataFields>
  <pivotTableStyleInfo name="PivotStyleLight16" showRowHeaders="1" showColHeaders="1" showRowStripes="0" showColStripes="0" showLastColumn="1"/>
  <filters count="1">
    <filter fld="1" type="dateBetween" evalOrder="-1" id="35"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0409CEB-08C7-420B-9A41-39289D3FD9EB}" name="PivotTable16" cacheId="7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A2" firstHeaderRow="1" firstDataRow="1" firstDataCol="0"/>
  <pivotFields count="8">
    <pivotField showAll="0"/>
    <pivotField showAll="0"/>
    <pivotField showAll="0"/>
    <pivotField showAll="0"/>
    <pivotField showAll="0"/>
    <pivotField showAll="0"/>
    <pivotField showAll="0"/>
    <pivotField dataField="1" numFmtId="164" showAll="0"/>
  </pivotFields>
  <rowItems count="1">
    <i/>
  </rowItems>
  <colItems count="1">
    <i/>
  </colItems>
  <dataFields count="1">
    <dataField name="Sum of PriceSale" fld="7" baseField="0" baseItem="0" numFmtId="164"/>
  </dataFields>
  <pivotTableStyleInfo name="PivotStyleLight16" showRowHeaders="1" showColHeaders="1" showRowStripes="0" showColStripes="0" showLastColumn="1"/>
  <filters count="1">
    <filter fld="1" type="dateBetween" evalOrder="-1" id="36"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3A55F34-5B89-4475-B576-F681B61E964D}" sourceName="Status">
  <pivotTables>
    <pivotTable tabId="7" name="PivotTable12"/>
  </pivotTables>
  <data>
    <tabular pivotCacheId="584595980">
      <items count="4">
        <i x="1" s="1"/>
        <i x="0" s="1"/>
        <i x="3" nd="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57A7C54D-8202-4320-B6BE-C64DBE4D7B78}"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94ACDD-F74B-4497-9759-732CAEE3738D}" name="TableP" displayName="TableP" ref="A1:J20" totalsRowShown="0" tableBorderDxfId="4">
  <autoFilter ref="A1:J20" xr:uid="{7094ACDD-F74B-4497-9759-732CAEE3738D}"/>
  <tableColumns count="10">
    <tableColumn id="1" xr3:uid="{6B576E48-1682-4211-8FD6-8294241B59EE}" name="OrderID"/>
    <tableColumn id="2" xr3:uid="{58B88E0C-420A-4201-8173-3853294CD99D}" name="SKU2"/>
    <tableColumn id="3" xr3:uid="{FA0D53A9-F3F4-4FEB-82DF-483309E0B9F4}" name="Date" dataDxfId="3" totalsRowDxfId="28"/>
    <tableColumn id="4" xr3:uid="{93362CE2-2EAE-40D4-A36C-BF4A680FEDA9}" name="Product" totalsRowDxfId="27"/>
    <tableColumn id="5" xr3:uid="{BFDD0A50-7665-4E74-864E-6E20C73D16B1}" name="Link" totalsRowDxfId="26"/>
    <tableColumn id="7" xr3:uid="{23BF22E3-D33C-4655-8B5A-3DD50F1B2257}" name="CostPrice" dataDxfId="2" totalsRowDxfId="25"/>
    <tableColumn id="8" xr3:uid="{31491565-8DC4-4CE9-99E7-E9EF7119C6BF}" name="LastPrice" dataDxfId="1" totalsRowDxfId="24"/>
    <tableColumn id="9" xr3:uid="{63A2830F-20D0-439F-98F3-CF27C2F4E82C}" name="Delivery" dataDxfId="0" totalsRowDxfId="23"/>
    <tableColumn id="10" xr3:uid="{AFAEFD71-4BE7-4E3D-A48A-1E29BD804961}" name="SoldBy" totalsRowDxfId="22"/>
    <tableColumn id="11" xr3:uid="{A5D99D3C-4F16-49F7-89CA-41BDC6AF7AA1}" name="Supplier" totalsRowDxfId="2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1F88CA-8581-48A0-9738-41D87643B977}" name="TableS" displayName="TableS" ref="A1:H14" totalsRowShown="0">
  <autoFilter ref="A1:H14" xr:uid="{331F88CA-8581-48A0-9738-41D87643B977}"/>
  <tableColumns count="8">
    <tableColumn id="1" xr3:uid="{53982830-0298-4E4F-8744-B75EC5D88D2E}" name="OrderID"/>
    <tableColumn id="2" xr3:uid="{62EA2D0F-FFA2-4249-86B0-E88BE30998D6}" name="Date" dataDxfId="20"/>
    <tableColumn id="3" xr3:uid="{9EDA84C7-A2EC-4641-A066-BBFE687CDF5D}" name="Platform"/>
    <tableColumn id="4" xr3:uid="{F1DE8DF7-41BE-400E-8DB0-C4AE66B3B1A0}" name="CustomerName"/>
    <tableColumn id="5" xr3:uid="{3DC572B4-447F-4715-9581-373C0311B05A}" name="SKU"/>
    <tableColumn id="6" xr3:uid="{E01376D9-7565-40D6-93BD-1908DB37EC2F}" name="Product"/>
    <tableColumn id="7" xr3:uid="{444221BC-CE78-40E8-8107-354829441831}" name="PaymentMethod"/>
    <tableColumn id="8" xr3:uid="{57F60104-8C6A-4E83-B2FD-717F55D6CEB2}" name="PriceSale" dataDxfId="19"/>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B0B142-38CD-4183-9A97-41ECCAF48D0D}" name="TableI" displayName="TableI" ref="A1:G20" totalsRowShown="0">
  <autoFilter ref="A1:G20" xr:uid="{DAB0B142-38CD-4183-9A97-41ECCAF48D0D}"/>
  <tableColumns count="7">
    <tableColumn id="1" xr3:uid="{44E4F6A1-610D-4AAB-9362-33B05F17FB8F}" name="OrderID"/>
    <tableColumn id="2" xr3:uid="{24E60B89-E8EC-4FC7-829C-8F5803224780}" name="SKU">
      <calculatedColumnFormula>IFERROR(VLOOKUP(TableI[[#This Row],[OrderID]],TableP[#All],2,FALSE),"")</calculatedColumnFormula>
    </tableColumn>
    <tableColumn id="3" xr3:uid="{3006EFF7-DC66-4C36-A3E6-2CF1CC2129ED}" name="Product">
      <calculatedColumnFormula>IFERROR(VLOOKUP(TableI[[#This Row],[OrderID]],TableP[#All],4,FALSE),"")</calculatedColumnFormula>
    </tableColumn>
    <tableColumn id="4" xr3:uid="{332E9513-18D8-42B5-9FE6-33C42CABA0FF}" name="Purchased" dataDxfId="18" totalsRowDxfId="17">
      <calculatedColumnFormula>IFERROR(VLOOKUP(TableI[[#This Row],[OrderID]],TableP[#All],6,FALSE),0)</calculatedColumnFormula>
    </tableColumn>
    <tableColumn id="5" xr3:uid="{A8B42018-33B1-490C-A165-C27BFC148819}" name="Sold" dataDxfId="16">
      <calculatedColumnFormula>IFERROR(VLOOKUP(TableI[[#This Row],[OrderID]],TableS[#All],8,FALSE),0)</calculatedColumnFormula>
    </tableColumn>
    <tableColumn id="6" xr3:uid="{4ADA120F-A9B3-45DC-B502-30A820FDF0F9}" name="Profit" dataDxfId="6">
      <calculatedColumnFormula>IF(TableI[[#This Row],[Sold]]=0, 0, TableI[[#This Row],[Sold]] - TableI[[#This Row],[Purchased]])</calculatedColumnFormula>
    </tableColumn>
    <tableColumn id="7" xr3:uid="{511D893E-836E-4011-88D9-93C2A7ADD159}" name="Status" dataDxfId="5">
      <calculatedColumnFormula>IF(TableI[[#This Row],[Sold]]=0, "Available", "Sold")</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D36745-574E-4808-A847-2B9378393F19}" name="TableE" displayName="TableE" ref="A1:F31" totalsRowShown="0">
  <autoFilter ref="A1:F31" xr:uid="{48D36745-574E-4808-A847-2B9378393F19}"/>
  <tableColumns count="6">
    <tableColumn id="1" xr3:uid="{1D5A1DAF-9578-43DB-991E-9C922CF411DE}" name="ExpenseIDEx"/>
    <tableColumn id="2" xr3:uid="{34C9F3B8-A306-4530-BA11-35BEBFDEEA37}" name="DateEx" dataDxfId="15"/>
    <tableColumn id="3" xr3:uid="{9DEDA09E-FA06-468A-B4E2-C24E46F18E05}" name="CategoryEx"/>
    <tableColumn id="4" xr3:uid="{71CB0707-B3BB-42B2-8FAC-286C0D5B94E2}" name="DescriptionEx"/>
    <tableColumn id="5" xr3:uid="{0F366CC4-F2B5-4EB7-856C-0037954E7732}" name="AmountEx" dataDxfId="14"/>
    <tableColumn id="6" xr3:uid="{ADF31F6E-2455-4C52-956E-88E7D4B50B41}" name="PaymentMethodEx"/>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7962DB-E777-45FF-8837-846D173C1559}" name="Table5" displayName="Table5" ref="A1:A8" totalsRowShown="0">
  <autoFilter ref="A1:A8" xr:uid="{267962DB-E777-45FF-8837-846D173C1559}"/>
  <tableColumns count="1">
    <tableColumn id="1" xr3:uid="{95CFD67C-78E3-4570-B290-14DCFBCB6C28}" name="SKUDV"/>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8EE6A6-AF5E-48C9-BFAB-5591FC535566}" name="Table6" displayName="Table6" ref="C1:C5" totalsRowShown="0">
  <autoFilter ref="C1:C5" xr:uid="{868EE6A6-AF5E-48C9-BFAB-5591FC535566}"/>
  <tableColumns count="1">
    <tableColumn id="1" xr3:uid="{DDD1170C-B54E-408A-AC03-3DB563A06FD3}" name="PlatformD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348F3E2-D936-4B71-A17E-1142B6D56BE7}" name="Table8" displayName="Table8" ref="E1:E3" totalsRowShown="0" headerRowDxfId="13" tableBorderDxfId="12">
  <autoFilter ref="E1:E3" xr:uid="{B348F3E2-D936-4B71-A17E-1142B6D56BE7}"/>
  <tableColumns count="1">
    <tableColumn id="1" xr3:uid="{B98A68CD-0F7F-4EB0-B222-3D9C9F881532}" name="PaymentMethodDV"/>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FACD075-C0E3-43C6-BF79-993EC226A712}" sourceName="Date">
  <pivotTables>
    <pivotTable tabId="7" name="PivotTable10"/>
  </pivotTables>
  <state minimalRefreshVersion="6" lastRefreshVersion="6" pivotCacheId="913723128" filterType="dateBetween">
    <selection startDate="2026-01-01T00:00:00" endDate="2026-03-31T00:00:00"/>
    <bounds startDate="2026-01-01T00:00:00" endDate="202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Ex" xr10:uid="{B0BA7977-6984-4178-9FD4-7CA3C29B2432}" sourceName="DateEx">
  <pivotTables>
    <pivotTable tabId="7" name="PivotTable17"/>
  </pivotTables>
  <state minimalRefreshVersion="6" lastRefreshVersion="6" pivotCacheId="192822650" filterType="dateBetween">
    <selection startDate="2026-01-01T00:00:00" endDate="2026-12-31T00:00:00"/>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1D849B1-750B-423A-82C8-EE3AEDF115CC}" cache="NativeTimeline_Date" caption="Date" level="2" selectionLevel="1" scrollPosition="2026-01-01T00:00:00"/>
  <timeline name="DateEx" xr10:uid="{B1342DE9-A0C3-4DB1-85C2-6E8D955BB4F6}" cache="NativeTimeline_DateEx" caption="DateEx" level="2" selectionLevel="0" scrollPosition="2026-01-18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1"/>
  <sheetViews>
    <sheetView workbookViewId="0">
      <selection activeCell="G10" sqref="G10"/>
    </sheetView>
  </sheetViews>
  <sheetFormatPr defaultRowHeight="15" x14ac:dyDescent="0.25"/>
  <cols>
    <col min="1" max="1" width="11.140625" customWidth="1"/>
    <col min="2" max="2" width="3" customWidth="1"/>
    <col min="3" max="3" width="43.5703125" customWidth="1"/>
    <col min="5" max="5" width="13.85546875" customWidth="1"/>
    <col min="6" max="6" width="3.28515625" customWidth="1"/>
    <col min="7" max="7" width="37.140625" customWidth="1"/>
  </cols>
  <sheetData>
    <row r="1" spans="1:8" ht="46.5" x14ac:dyDescent="0.7">
      <c r="A1" s="17" t="s">
        <v>150</v>
      </c>
      <c r="B1" s="17"/>
      <c r="C1" s="17"/>
      <c r="D1" s="3"/>
      <c r="E1" s="18" t="s">
        <v>151</v>
      </c>
      <c r="F1" s="18"/>
      <c r="G1" s="18"/>
      <c r="H1" s="3"/>
    </row>
    <row r="3" spans="1:8" x14ac:dyDescent="0.25">
      <c r="A3" s="11" t="s">
        <v>2</v>
      </c>
      <c r="B3" s="11" t="s">
        <v>147</v>
      </c>
      <c r="C3" s="4"/>
      <c r="E3" s="10" t="s">
        <v>0</v>
      </c>
      <c r="F3" s="10" t="s">
        <v>147</v>
      </c>
      <c r="G3" s="5"/>
    </row>
    <row r="4" spans="1:8" x14ac:dyDescent="0.25">
      <c r="A4" s="11" t="s">
        <v>66</v>
      </c>
      <c r="B4" s="11" t="s">
        <v>147</v>
      </c>
      <c r="C4" s="5"/>
      <c r="E4" s="10" t="s">
        <v>2</v>
      </c>
      <c r="F4" s="10" t="s">
        <v>147</v>
      </c>
      <c r="G4" s="4"/>
    </row>
    <row r="5" spans="1:8" x14ac:dyDescent="0.25">
      <c r="A5" s="11" t="s">
        <v>3</v>
      </c>
      <c r="B5" s="11" t="s">
        <v>147</v>
      </c>
      <c r="C5" s="5"/>
      <c r="D5" t="s">
        <v>149</v>
      </c>
      <c r="E5" s="10" t="s">
        <v>64</v>
      </c>
      <c r="F5" s="10" t="s">
        <v>147</v>
      </c>
      <c r="G5" s="5"/>
    </row>
    <row r="6" spans="1:8" x14ac:dyDescent="0.25">
      <c r="A6" s="11" t="s">
        <v>4</v>
      </c>
      <c r="B6" s="11" t="s">
        <v>147</v>
      </c>
      <c r="C6" s="5"/>
      <c r="D6" t="s">
        <v>149</v>
      </c>
      <c r="E6" s="10" t="s">
        <v>65</v>
      </c>
      <c r="F6" s="10" t="s">
        <v>147</v>
      </c>
      <c r="G6" s="5"/>
    </row>
    <row r="7" spans="1:8" x14ac:dyDescent="0.25">
      <c r="A7" s="11" t="s">
        <v>5</v>
      </c>
      <c r="B7" s="11" t="s">
        <v>147</v>
      </c>
      <c r="C7" s="6"/>
      <c r="E7" s="10" t="s">
        <v>66</v>
      </c>
      <c r="F7" s="10" t="s">
        <v>147</v>
      </c>
      <c r="G7" s="5" t="str">
        <f>IFERROR(VLOOKUP(G3,TableP[#All],2,FALSE),"")</f>
        <v/>
      </c>
      <c r="H7" t="s">
        <v>149</v>
      </c>
    </row>
    <row r="8" spans="1:8" x14ac:dyDescent="0.25">
      <c r="A8" s="11" t="s">
        <v>6</v>
      </c>
      <c r="B8" s="11" t="s">
        <v>147</v>
      </c>
      <c r="C8" s="6"/>
      <c r="E8" s="10" t="s">
        <v>3</v>
      </c>
      <c r="F8" s="10" t="s">
        <v>147</v>
      </c>
      <c r="G8" s="5" t="str">
        <f>IFERROR(VLOOKUP(G3,TableP[#All],4,FALSE),"")</f>
        <v/>
      </c>
      <c r="H8" t="s">
        <v>149</v>
      </c>
    </row>
    <row r="9" spans="1:8" x14ac:dyDescent="0.25">
      <c r="A9" s="11" t="s">
        <v>7</v>
      </c>
      <c r="B9" s="11" t="s">
        <v>147</v>
      </c>
      <c r="C9" s="6"/>
      <c r="E9" s="10" t="s">
        <v>67</v>
      </c>
      <c r="F9" s="10" t="s">
        <v>147</v>
      </c>
      <c r="G9" s="5"/>
    </row>
    <row r="10" spans="1:8" x14ac:dyDescent="0.25">
      <c r="A10" s="11" t="s">
        <v>8</v>
      </c>
      <c r="B10" s="11" t="s">
        <v>147</v>
      </c>
      <c r="C10" s="5"/>
      <c r="E10" s="10" t="s">
        <v>68</v>
      </c>
      <c r="F10" s="10" t="s">
        <v>147</v>
      </c>
      <c r="G10" s="6"/>
    </row>
    <row r="11" spans="1:8" x14ac:dyDescent="0.25">
      <c r="A11" s="11" t="s">
        <v>9</v>
      </c>
      <c r="B11" s="11" t="s">
        <v>147</v>
      </c>
      <c r="C11" s="5"/>
    </row>
  </sheetData>
  <mergeCells count="2">
    <mergeCell ref="A1:C1"/>
    <mergeCell ref="E1:G1"/>
  </mergeCells>
  <dataValidations count="4">
    <dataValidation operator="greaterThanOrEqual" allowBlank="1" showInputMessage="1" showErrorMessage="1" sqref="C3" xr:uid="{867BF67F-B6E3-48E3-9AC8-443343C92AE7}"/>
    <dataValidation type="list" allowBlank="1" showInputMessage="1" showErrorMessage="1" sqref="C4" xr:uid="{DADB95B6-921D-4BE6-A66F-5059A1C40445}">
      <formula1>SKUDV</formula1>
    </dataValidation>
    <dataValidation type="list" allowBlank="1" showInputMessage="1" showErrorMessage="1" sqref="G5" xr:uid="{B835A9B5-4120-44D9-94B6-22D675D2A73A}">
      <formula1>PlatformDV</formula1>
    </dataValidation>
    <dataValidation type="list" allowBlank="1" showInputMessage="1" showErrorMessage="1" sqref="G9" xr:uid="{9C615C69-1DF5-42D3-A198-EC2572470786}">
      <formula1>PaymentMethodDV</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D69B-32AD-4422-9D61-ACB443B14E52}">
  <sheetPr codeName="Sheet2"/>
  <dimension ref="A1:J20"/>
  <sheetViews>
    <sheetView workbookViewId="0">
      <selection activeCell="J20" sqref="J20"/>
    </sheetView>
  </sheetViews>
  <sheetFormatPr defaultRowHeight="15" x14ac:dyDescent="0.25"/>
  <cols>
    <col min="1" max="1" width="10.140625" customWidth="1"/>
    <col min="3" max="3" width="9.7109375" bestFit="1" customWidth="1"/>
    <col min="4" max="4" width="36.140625" customWidth="1"/>
    <col min="6" max="6" width="11.42578125" customWidth="1"/>
    <col min="7" max="7" width="11" customWidth="1"/>
    <col min="8" max="8" width="10.5703125" customWidth="1"/>
    <col min="10" max="10" width="10.5703125" customWidth="1"/>
  </cols>
  <sheetData>
    <row r="1" spans="1:10" x14ac:dyDescent="0.25">
      <c r="A1" s="20" t="s">
        <v>0</v>
      </c>
      <c r="B1" s="20" t="s">
        <v>1</v>
      </c>
      <c r="C1" s="20" t="s">
        <v>2</v>
      </c>
      <c r="D1" s="20" t="s">
        <v>3</v>
      </c>
      <c r="E1" s="20" t="s">
        <v>4</v>
      </c>
      <c r="F1" s="20" t="s">
        <v>5</v>
      </c>
      <c r="G1" s="20" t="s">
        <v>6</v>
      </c>
      <c r="H1" s="20" t="s">
        <v>7</v>
      </c>
      <c r="I1" s="20" t="s">
        <v>8</v>
      </c>
      <c r="J1" s="20" t="s">
        <v>9</v>
      </c>
    </row>
    <row r="2" spans="1:10" x14ac:dyDescent="0.25">
      <c r="A2" s="20">
        <v>1</v>
      </c>
      <c r="B2" s="20" t="s">
        <v>10</v>
      </c>
      <c r="C2" s="22">
        <v>46028</v>
      </c>
      <c r="D2" s="20" t="s">
        <v>11</v>
      </c>
      <c r="E2" s="20" t="s">
        <v>12</v>
      </c>
      <c r="F2" s="21">
        <v>339.99</v>
      </c>
      <c r="G2" s="21">
        <v>379.99</v>
      </c>
      <c r="H2" s="21">
        <v>0</v>
      </c>
      <c r="I2" s="20" t="s">
        <v>13</v>
      </c>
      <c r="J2" s="20" t="s">
        <v>14</v>
      </c>
    </row>
    <row r="3" spans="1:10" x14ac:dyDescent="0.25">
      <c r="A3" s="20">
        <v>2</v>
      </c>
      <c r="B3" s="20" t="s">
        <v>15</v>
      </c>
      <c r="C3" s="22">
        <v>46030</v>
      </c>
      <c r="D3" s="20" t="s">
        <v>16</v>
      </c>
      <c r="E3" s="20" t="s">
        <v>17</v>
      </c>
      <c r="F3" s="21">
        <v>247.45</v>
      </c>
      <c r="G3" s="21">
        <v>399</v>
      </c>
      <c r="H3" s="21">
        <v>0</v>
      </c>
      <c r="I3" s="20" t="s">
        <v>18</v>
      </c>
      <c r="J3" s="20" t="s">
        <v>14</v>
      </c>
    </row>
    <row r="4" spans="1:10" x14ac:dyDescent="0.25">
      <c r="A4" s="20">
        <v>3</v>
      </c>
      <c r="B4" s="20" t="s">
        <v>15</v>
      </c>
      <c r="C4" s="22">
        <v>46030</v>
      </c>
      <c r="D4" s="20" t="s">
        <v>19</v>
      </c>
      <c r="E4" s="20" t="s">
        <v>20</v>
      </c>
      <c r="F4" s="21">
        <v>207</v>
      </c>
      <c r="G4" s="21">
        <v>249</v>
      </c>
      <c r="H4" s="21">
        <v>0</v>
      </c>
      <c r="I4" s="20" t="s">
        <v>21</v>
      </c>
      <c r="J4" s="20" t="s">
        <v>14</v>
      </c>
    </row>
    <row r="5" spans="1:10" x14ac:dyDescent="0.25">
      <c r="A5" s="20">
        <v>4</v>
      </c>
      <c r="B5" s="20" t="s">
        <v>22</v>
      </c>
      <c r="C5" s="22">
        <v>46031</v>
      </c>
      <c r="D5" s="20" t="s">
        <v>23</v>
      </c>
      <c r="E5" s="20" t="s">
        <v>24</v>
      </c>
      <c r="F5" s="21">
        <v>64.989999999999995</v>
      </c>
      <c r="G5" s="21">
        <v>64.989999999999995</v>
      </c>
      <c r="H5" s="21">
        <v>0</v>
      </c>
      <c r="I5" s="20" t="s">
        <v>25</v>
      </c>
      <c r="J5" s="20" t="s">
        <v>14</v>
      </c>
    </row>
    <row r="6" spans="1:10" x14ac:dyDescent="0.25">
      <c r="A6" s="20">
        <v>5</v>
      </c>
      <c r="B6" s="20" t="s">
        <v>22</v>
      </c>
      <c r="C6" s="22">
        <v>46034</v>
      </c>
      <c r="D6" s="20" t="s">
        <v>26</v>
      </c>
      <c r="E6" s="20" t="s">
        <v>27</v>
      </c>
      <c r="F6" s="21">
        <v>82.99</v>
      </c>
      <c r="G6" s="21">
        <v>82.99</v>
      </c>
      <c r="H6" s="21">
        <v>0</v>
      </c>
      <c r="I6" s="20" t="s">
        <v>28</v>
      </c>
      <c r="J6" s="20" t="s">
        <v>14</v>
      </c>
    </row>
    <row r="7" spans="1:10" x14ac:dyDescent="0.25">
      <c r="A7" s="20">
        <v>6</v>
      </c>
      <c r="B7" s="20" t="s">
        <v>22</v>
      </c>
      <c r="C7" s="22">
        <v>46055</v>
      </c>
      <c r="D7" s="20" t="s">
        <v>29</v>
      </c>
      <c r="E7" s="20" t="s">
        <v>30</v>
      </c>
      <c r="F7" s="21">
        <v>84.99</v>
      </c>
      <c r="G7" s="21">
        <v>94.99</v>
      </c>
      <c r="H7" s="21">
        <v>0</v>
      </c>
      <c r="I7" s="20" t="s">
        <v>31</v>
      </c>
      <c r="J7" s="20" t="s">
        <v>14</v>
      </c>
    </row>
    <row r="8" spans="1:10" x14ac:dyDescent="0.25">
      <c r="A8" s="20">
        <v>7</v>
      </c>
      <c r="B8" s="20" t="s">
        <v>32</v>
      </c>
      <c r="C8" s="22">
        <v>46055</v>
      </c>
      <c r="D8" s="20" t="s">
        <v>33</v>
      </c>
      <c r="E8" s="20" t="s">
        <v>34</v>
      </c>
      <c r="F8" s="21">
        <v>501.26</v>
      </c>
      <c r="G8" s="21">
        <v>561.26</v>
      </c>
      <c r="H8" s="21">
        <v>0</v>
      </c>
      <c r="I8" s="20" t="s">
        <v>35</v>
      </c>
      <c r="J8" s="20" t="s">
        <v>14</v>
      </c>
    </row>
    <row r="9" spans="1:10" x14ac:dyDescent="0.25">
      <c r="A9" s="20">
        <v>8</v>
      </c>
      <c r="B9" s="20" t="s">
        <v>32</v>
      </c>
      <c r="C9" s="22">
        <v>46065</v>
      </c>
      <c r="D9" s="20" t="s">
        <v>36</v>
      </c>
      <c r="E9" s="20" t="s">
        <v>37</v>
      </c>
      <c r="F9" s="21">
        <v>318.99</v>
      </c>
      <c r="G9" s="21">
        <v>378.99</v>
      </c>
      <c r="H9" s="21">
        <v>0</v>
      </c>
      <c r="I9" s="20" t="s">
        <v>38</v>
      </c>
      <c r="J9" s="20" t="s">
        <v>14</v>
      </c>
    </row>
    <row r="10" spans="1:10" x14ac:dyDescent="0.25">
      <c r="A10" s="20">
        <v>9</v>
      </c>
      <c r="B10" s="20" t="s">
        <v>10</v>
      </c>
      <c r="C10" s="22">
        <v>46066</v>
      </c>
      <c r="D10" s="20" t="s">
        <v>39</v>
      </c>
      <c r="E10" s="20" t="s">
        <v>40</v>
      </c>
      <c r="F10" s="21">
        <v>1399.99</v>
      </c>
      <c r="G10" s="21">
        <v>1499.99</v>
      </c>
      <c r="H10" s="21">
        <v>0</v>
      </c>
      <c r="I10" s="20" t="s">
        <v>31</v>
      </c>
      <c r="J10" s="20" t="s">
        <v>14</v>
      </c>
    </row>
    <row r="11" spans="1:10" x14ac:dyDescent="0.25">
      <c r="A11" s="20">
        <v>10</v>
      </c>
      <c r="B11" s="20" t="s">
        <v>41</v>
      </c>
      <c r="C11" s="22">
        <v>46068</v>
      </c>
      <c r="D11" s="20" t="s">
        <v>42</v>
      </c>
      <c r="E11" s="20" t="s">
        <v>43</v>
      </c>
      <c r="F11" s="21">
        <v>192.99</v>
      </c>
      <c r="G11" s="21">
        <v>242.99</v>
      </c>
      <c r="H11" s="21">
        <v>0</v>
      </c>
      <c r="I11" s="20" t="s">
        <v>31</v>
      </c>
      <c r="J11" s="20" t="s">
        <v>14</v>
      </c>
    </row>
    <row r="12" spans="1:10" x14ac:dyDescent="0.25">
      <c r="A12" s="20">
        <v>11</v>
      </c>
      <c r="B12" s="20" t="s">
        <v>41</v>
      </c>
      <c r="C12" s="22">
        <v>46070</v>
      </c>
      <c r="D12" s="20" t="s">
        <v>44</v>
      </c>
      <c r="E12" s="20" t="s">
        <v>45</v>
      </c>
      <c r="F12" s="21">
        <v>351.99</v>
      </c>
      <c r="G12" s="21">
        <v>411.99</v>
      </c>
      <c r="H12" s="21">
        <v>0</v>
      </c>
      <c r="I12" s="20" t="s">
        <v>31</v>
      </c>
      <c r="J12" s="20" t="s">
        <v>14</v>
      </c>
    </row>
    <row r="13" spans="1:10" x14ac:dyDescent="0.25">
      <c r="A13" s="20">
        <v>12</v>
      </c>
      <c r="B13" s="20" t="s">
        <v>46</v>
      </c>
      <c r="C13" s="22">
        <v>46072</v>
      </c>
      <c r="D13" s="20" t="s">
        <v>47</v>
      </c>
      <c r="E13" s="20" t="s">
        <v>48</v>
      </c>
      <c r="F13" s="21">
        <v>179.99</v>
      </c>
      <c r="G13" s="21">
        <v>259.99</v>
      </c>
      <c r="H13" s="21">
        <v>0</v>
      </c>
      <c r="I13" s="20" t="s">
        <v>49</v>
      </c>
      <c r="J13" s="20" t="s">
        <v>14</v>
      </c>
    </row>
    <row r="14" spans="1:10" x14ac:dyDescent="0.25">
      <c r="A14" s="20">
        <v>13</v>
      </c>
      <c r="B14" s="20" t="s">
        <v>46</v>
      </c>
      <c r="C14" s="22">
        <v>46073</v>
      </c>
      <c r="D14" s="20" t="s">
        <v>50</v>
      </c>
      <c r="E14" s="20" t="s">
        <v>51</v>
      </c>
      <c r="F14" s="21">
        <v>125.99</v>
      </c>
      <c r="G14" s="21">
        <v>125.99</v>
      </c>
      <c r="H14" s="21">
        <v>0</v>
      </c>
      <c r="I14" s="20" t="s">
        <v>52</v>
      </c>
      <c r="J14" s="20" t="s">
        <v>14</v>
      </c>
    </row>
    <row r="15" spans="1:10" x14ac:dyDescent="0.25">
      <c r="A15" s="20">
        <v>14</v>
      </c>
      <c r="B15" s="20" t="s">
        <v>46</v>
      </c>
      <c r="C15" s="22">
        <v>46074</v>
      </c>
      <c r="D15" s="20" t="s">
        <v>53</v>
      </c>
      <c r="E15" s="20" t="s">
        <v>51</v>
      </c>
      <c r="F15" s="21">
        <v>239.99</v>
      </c>
      <c r="G15" s="21">
        <v>299.99</v>
      </c>
      <c r="H15" s="21">
        <v>0</v>
      </c>
      <c r="I15" s="20" t="s">
        <v>31</v>
      </c>
      <c r="J15" s="20" t="s">
        <v>14</v>
      </c>
    </row>
    <row r="16" spans="1:10" x14ac:dyDescent="0.25">
      <c r="A16" s="20">
        <v>15</v>
      </c>
      <c r="B16" s="20" t="s">
        <v>41</v>
      </c>
      <c r="C16" s="22">
        <v>46075</v>
      </c>
      <c r="D16" s="20" t="s">
        <v>54</v>
      </c>
      <c r="E16" s="20" t="s">
        <v>55</v>
      </c>
      <c r="F16" s="21">
        <v>599.99</v>
      </c>
      <c r="G16" s="21">
        <v>599.99</v>
      </c>
      <c r="H16" s="21">
        <v>0</v>
      </c>
      <c r="I16" s="20" t="s">
        <v>56</v>
      </c>
      <c r="J16" s="20" t="s">
        <v>14</v>
      </c>
    </row>
    <row r="17" spans="1:10" x14ac:dyDescent="0.25">
      <c r="A17" s="20">
        <v>16</v>
      </c>
      <c r="B17" s="20" t="s">
        <v>41</v>
      </c>
      <c r="C17" s="22">
        <v>46076</v>
      </c>
      <c r="D17" s="20" t="s">
        <v>57</v>
      </c>
      <c r="E17" s="20" t="s">
        <v>58</v>
      </c>
      <c r="F17" s="21">
        <v>369</v>
      </c>
      <c r="G17" s="21">
        <v>369</v>
      </c>
      <c r="H17" s="21">
        <v>0</v>
      </c>
      <c r="I17" s="20" t="s">
        <v>59</v>
      </c>
      <c r="J17" s="20" t="s">
        <v>14</v>
      </c>
    </row>
    <row r="18" spans="1:10" x14ac:dyDescent="0.25">
      <c r="A18" s="20">
        <v>17</v>
      </c>
      <c r="B18" s="20" t="s">
        <v>41</v>
      </c>
      <c r="C18" s="22">
        <v>46077</v>
      </c>
      <c r="D18" s="20" t="s">
        <v>60</v>
      </c>
      <c r="E18" s="20" t="s">
        <v>61</v>
      </c>
      <c r="F18" s="21">
        <v>319.99</v>
      </c>
      <c r="G18" s="21">
        <v>319.99</v>
      </c>
      <c r="H18" s="21">
        <v>0</v>
      </c>
      <c r="I18" s="20" t="s">
        <v>56</v>
      </c>
      <c r="J18" s="20" t="s">
        <v>14</v>
      </c>
    </row>
    <row r="19" spans="1:10" x14ac:dyDescent="0.25">
      <c r="A19" s="20">
        <v>18</v>
      </c>
      <c r="B19" s="20" t="s">
        <v>10</v>
      </c>
      <c r="C19" s="22">
        <v>46078</v>
      </c>
      <c r="D19" s="20" t="s">
        <v>62</v>
      </c>
      <c r="E19" s="20" t="s">
        <v>63</v>
      </c>
      <c r="F19" s="21">
        <v>949.99</v>
      </c>
      <c r="G19" s="21">
        <v>999</v>
      </c>
      <c r="H19" s="21">
        <v>0</v>
      </c>
      <c r="I19" s="20" t="s">
        <v>31</v>
      </c>
      <c r="J19" s="20" t="s">
        <v>14</v>
      </c>
    </row>
    <row r="20" spans="1:10" x14ac:dyDescent="0.25">
      <c r="A20" s="20">
        <f>A19+1</f>
        <v>19</v>
      </c>
      <c r="B20" s="20" t="s">
        <v>179</v>
      </c>
      <c r="C20" s="22">
        <v>46086</v>
      </c>
      <c r="D20" s="20" t="s">
        <v>180</v>
      </c>
      <c r="E20" s="20" t="s">
        <v>181</v>
      </c>
      <c r="F20" s="21">
        <v>119.99</v>
      </c>
      <c r="G20" s="21">
        <v>129.99</v>
      </c>
      <c r="H20" s="21">
        <v>0</v>
      </c>
      <c r="I20" s="20" t="s">
        <v>31</v>
      </c>
      <c r="J20" s="20" t="s">
        <v>14</v>
      </c>
    </row>
  </sheetData>
  <dataValidations count="1">
    <dataValidation operator="greaterThanOrEqual" allowBlank="1" showInputMessage="1" showErrorMessage="1" sqref="C20" xr:uid="{3011E72F-196B-4E3F-8429-A65FE1ADD906}"/>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6CA-3C6B-466F-A97C-8F266EEF1EA3}">
  <sheetPr codeName="Sheet3"/>
  <dimension ref="A1:H14"/>
  <sheetViews>
    <sheetView workbookViewId="0">
      <selection activeCell="A14" sqref="A14"/>
    </sheetView>
  </sheetViews>
  <sheetFormatPr defaultRowHeight="15" x14ac:dyDescent="0.25"/>
  <cols>
    <col min="1" max="1" width="10.140625" customWidth="1"/>
    <col min="2" max="2" width="10.7109375" style="1" bestFit="1" customWidth="1"/>
    <col min="3" max="3" width="10.85546875" customWidth="1"/>
    <col min="4" max="4" width="17" customWidth="1"/>
    <col min="6" max="6" width="43" customWidth="1"/>
    <col min="7" max="7" width="18.140625" customWidth="1"/>
    <col min="8" max="8" width="11.28515625" customWidth="1"/>
  </cols>
  <sheetData>
    <row r="1" spans="1:8" x14ac:dyDescent="0.25">
      <c r="A1" t="s">
        <v>0</v>
      </c>
      <c r="B1" s="1" t="s">
        <v>2</v>
      </c>
      <c r="C1" t="s">
        <v>64</v>
      </c>
      <c r="D1" t="s">
        <v>65</v>
      </c>
      <c r="E1" t="s">
        <v>66</v>
      </c>
      <c r="F1" t="s">
        <v>3</v>
      </c>
      <c r="G1" t="s">
        <v>67</v>
      </c>
      <c r="H1" t="s">
        <v>68</v>
      </c>
    </row>
    <row r="2" spans="1:8" x14ac:dyDescent="0.25">
      <c r="A2">
        <v>1</v>
      </c>
      <c r="B2" s="15">
        <v>46030</v>
      </c>
      <c r="C2" t="s">
        <v>69</v>
      </c>
      <c r="D2" t="s">
        <v>70</v>
      </c>
      <c r="E2" t="s">
        <v>10</v>
      </c>
      <c r="F2" t="s">
        <v>11</v>
      </c>
      <c r="G2" t="s">
        <v>71</v>
      </c>
      <c r="H2" s="2">
        <v>415</v>
      </c>
    </row>
    <row r="3" spans="1:8" x14ac:dyDescent="0.25">
      <c r="A3">
        <v>3</v>
      </c>
      <c r="B3" s="15">
        <v>46031</v>
      </c>
      <c r="C3" t="s">
        <v>69</v>
      </c>
      <c r="D3" t="s">
        <v>155</v>
      </c>
      <c r="E3" t="s">
        <v>15</v>
      </c>
      <c r="F3" t="s">
        <v>19</v>
      </c>
      <c r="G3" t="s">
        <v>71</v>
      </c>
      <c r="H3" s="2">
        <v>300</v>
      </c>
    </row>
    <row r="4" spans="1:8" x14ac:dyDescent="0.25">
      <c r="A4">
        <v>5</v>
      </c>
      <c r="B4" s="15">
        <v>46035</v>
      </c>
      <c r="C4" t="s">
        <v>69</v>
      </c>
      <c r="D4" t="s">
        <v>156</v>
      </c>
      <c r="E4" t="s">
        <v>22</v>
      </c>
      <c r="F4" t="s">
        <v>26</v>
      </c>
      <c r="G4" t="s">
        <v>71</v>
      </c>
      <c r="H4" s="2">
        <v>150</v>
      </c>
    </row>
    <row r="5" spans="1:8" x14ac:dyDescent="0.25">
      <c r="A5">
        <v>2</v>
      </c>
      <c r="B5" s="15">
        <v>46035</v>
      </c>
      <c r="C5" t="s">
        <v>69</v>
      </c>
      <c r="D5" t="s">
        <v>157</v>
      </c>
      <c r="E5" t="s">
        <v>15</v>
      </c>
      <c r="F5" t="s">
        <v>16</v>
      </c>
      <c r="G5" t="s">
        <v>71</v>
      </c>
      <c r="H5" s="2">
        <v>310</v>
      </c>
    </row>
    <row r="6" spans="1:8" x14ac:dyDescent="0.25">
      <c r="A6">
        <v>4</v>
      </c>
      <c r="B6" s="15">
        <v>46036</v>
      </c>
      <c r="C6" t="s">
        <v>69</v>
      </c>
      <c r="D6" t="s">
        <v>158</v>
      </c>
      <c r="E6" t="s">
        <v>22</v>
      </c>
      <c r="F6" t="s">
        <v>23</v>
      </c>
      <c r="G6" t="s">
        <v>71</v>
      </c>
      <c r="H6" s="2">
        <v>100</v>
      </c>
    </row>
    <row r="7" spans="1:8" x14ac:dyDescent="0.25">
      <c r="A7">
        <v>8</v>
      </c>
      <c r="B7" s="15">
        <v>46037</v>
      </c>
      <c r="C7" t="s">
        <v>69</v>
      </c>
      <c r="D7" t="s">
        <v>159</v>
      </c>
      <c r="E7" t="s">
        <v>32</v>
      </c>
      <c r="F7" t="s">
        <v>36</v>
      </c>
      <c r="G7" t="s">
        <v>71</v>
      </c>
      <c r="H7" s="2">
        <v>400</v>
      </c>
    </row>
    <row r="8" spans="1:8" x14ac:dyDescent="0.25">
      <c r="A8">
        <v>10</v>
      </c>
      <c r="B8" s="15">
        <v>46038</v>
      </c>
      <c r="C8" t="s">
        <v>72</v>
      </c>
      <c r="D8" t="s">
        <v>160</v>
      </c>
      <c r="E8" t="s">
        <v>41</v>
      </c>
      <c r="F8" t="s">
        <v>42</v>
      </c>
      <c r="G8" t="s">
        <v>71</v>
      </c>
      <c r="H8" s="2">
        <v>250</v>
      </c>
    </row>
    <row r="9" spans="1:8" x14ac:dyDescent="0.25">
      <c r="A9">
        <v>9</v>
      </c>
      <c r="B9" s="15">
        <v>46039</v>
      </c>
      <c r="C9" t="s">
        <v>72</v>
      </c>
      <c r="D9" t="s">
        <v>161</v>
      </c>
      <c r="E9" t="s">
        <v>10</v>
      </c>
      <c r="F9" t="s">
        <v>39</v>
      </c>
      <c r="G9" t="s">
        <v>87</v>
      </c>
      <c r="H9" s="2">
        <v>1800</v>
      </c>
    </row>
    <row r="10" spans="1:8" x14ac:dyDescent="0.25">
      <c r="A10">
        <v>6</v>
      </c>
      <c r="B10" s="15">
        <v>46039</v>
      </c>
      <c r="C10" t="s">
        <v>72</v>
      </c>
      <c r="D10" t="s">
        <v>162</v>
      </c>
      <c r="E10" t="s">
        <v>22</v>
      </c>
      <c r="F10" t="s">
        <v>29</v>
      </c>
      <c r="G10" t="s">
        <v>87</v>
      </c>
      <c r="H10" s="2">
        <v>140</v>
      </c>
    </row>
    <row r="11" spans="1:8" x14ac:dyDescent="0.25">
      <c r="A11">
        <v>11</v>
      </c>
      <c r="B11" s="15">
        <v>46041</v>
      </c>
      <c r="C11" t="s">
        <v>72</v>
      </c>
      <c r="D11" t="s">
        <v>164</v>
      </c>
      <c r="E11" t="s">
        <v>41</v>
      </c>
      <c r="F11" t="s">
        <v>44</v>
      </c>
      <c r="G11" t="s">
        <v>87</v>
      </c>
      <c r="H11" s="2">
        <v>420</v>
      </c>
    </row>
    <row r="12" spans="1:8" x14ac:dyDescent="0.25">
      <c r="A12">
        <v>7</v>
      </c>
      <c r="B12" s="15">
        <v>46041</v>
      </c>
      <c r="C12" t="s">
        <v>72</v>
      </c>
      <c r="D12" t="s">
        <v>163</v>
      </c>
      <c r="E12" t="s">
        <v>32</v>
      </c>
      <c r="F12" t="s">
        <v>33</v>
      </c>
      <c r="G12" t="s">
        <v>87</v>
      </c>
      <c r="H12" s="2">
        <v>800</v>
      </c>
    </row>
    <row r="13" spans="1:8" x14ac:dyDescent="0.25">
      <c r="A13">
        <v>12</v>
      </c>
      <c r="B13" s="15">
        <v>46042</v>
      </c>
      <c r="C13" t="s">
        <v>69</v>
      </c>
      <c r="D13" t="s">
        <v>165</v>
      </c>
      <c r="E13" t="s">
        <v>46</v>
      </c>
      <c r="F13" t="s">
        <v>47</v>
      </c>
      <c r="G13" t="s">
        <v>71</v>
      </c>
      <c r="H13" s="2">
        <v>260</v>
      </c>
    </row>
    <row r="14" spans="1:8" x14ac:dyDescent="0.25">
      <c r="A14">
        <v>16</v>
      </c>
      <c r="B14" s="15">
        <v>46086</v>
      </c>
      <c r="C14" t="s">
        <v>72</v>
      </c>
      <c r="D14" t="s">
        <v>182</v>
      </c>
      <c r="E14" t="s">
        <v>41</v>
      </c>
      <c r="F14" t="s">
        <v>57</v>
      </c>
      <c r="G14" t="s">
        <v>87</v>
      </c>
      <c r="H14" s="2">
        <v>420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0D987-775E-4404-9DD7-2C4EBE017EE5}">
  <sheetPr codeName="Sheet4"/>
  <dimension ref="A1:G20"/>
  <sheetViews>
    <sheetView workbookViewId="0">
      <selection activeCell="G17" sqref="G17"/>
    </sheetView>
  </sheetViews>
  <sheetFormatPr defaultRowHeight="15" x14ac:dyDescent="0.25"/>
  <cols>
    <col min="1" max="1" width="10.140625" customWidth="1"/>
    <col min="3" max="3" width="29.140625" customWidth="1"/>
    <col min="4" max="4" width="12.28515625" customWidth="1"/>
    <col min="7" max="7" width="11.85546875" customWidth="1"/>
  </cols>
  <sheetData>
    <row r="1" spans="1:7" x14ac:dyDescent="0.25">
      <c r="A1" t="s">
        <v>0</v>
      </c>
      <c r="B1" t="s">
        <v>66</v>
      </c>
      <c r="C1" t="s">
        <v>3</v>
      </c>
      <c r="D1" t="s">
        <v>74</v>
      </c>
      <c r="E1" t="s">
        <v>75</v>
      </c>
      <c r="F1" t="s">
        <v>76</v>
      </c>
      <c r="G1" t="s">
        <v>77</v>
      </c>
    </row>
    <row r="2" spans="1:7" x14ac:dyDescent="0.25">
      <c r="A2">
        <v>1</v>
      </c>
      <c r="B2" t="str">
        <f>IFERROR(VLOOKUP(TableI[[#This Row],[OrderID]],TableP[#All],2,FALSE),"")</f>
        <v>LAPTOP01</v>
      </c>
      <c r="C2" t="str">
        <f>IFERROR(VLOOKUP(TableI[[#This Row],[OrderID]],TableP[#All],4,FALSE),"")</f>
        <v>EYY 16" Laptop Computer Intel Core i5 Processor, Win 11 Pro Laptop 16GB RAM 512GB SSD, 1920 x 1200 FHD 16:10 Display, Office Suite Notebook with Backlit Keyboard, Student Business Work Laptops</v>
      </c>
      <c r="D2" s="2">
        <f>IFERROR(VLOOKUP(TableI[[#This Row],[OrderID]],TableP[#All],6,FALSE),0)</f>
        <v>339.99</v>
      </c>
      <c r="E2" s="2">
        <f>IFERROR(VLOOKUP(TableI[[#This Row],[OrderID]],TableS[#All],8,FALSE),0)</f>
        <v>415</v>
      </c>
      <c r="F2" s="2">
        <f>IF(TableI[[#This Row],[Sold]]=0, 0, TableI[[#This Row],[Sold]] - TableI[[#This Row],[Purchased]])</f>
        <v>75.009999999999991</v>
      </c>
      <c r="G2" t="str">
        <f>IF(TableI[[#This Row],[Sold]]=0, "Available", "Sold")</f>
        <v>Sold</v>
      </c>
    </row>
    <row r="3" spans="1:7" x14ac:dyDescent="0.25">
      <c r="A3">
        <v>2</v>
      </c>
      <c r="B3" t="str">
        <f>IFERROR(VLOOKUP(TableI[[#This Row],[OrderID]],TableP[#All],2,FALSE),"")</f>
        <v>CPU01</v>
      </c>
      <c r="C3" t="str">
        <f>IFERROR(VLOOKUP(TableI[[#This Row],[OrderID]],TableP[#All],4,FALSE),"")</f>
        <v>AMD Ryzen 7 7800X3D 8-Core, 16-Thread Desktop Processor</v>
      </c>
      <c r="D3" s="2">
        <f>IFERROR(VLOOKUP(TableI[[#This Row],[OrderID]],TableP[#All],6,FALSE),0)</f>
        <v>247.45</v>
      </c>
      <c r="E3" s="2">
        <f>IFERROR(VLOOKUP(TableI[[#This Row],[OrderID]],TableS[#All],8,FALSE),0)</f>
        <v>310</v>
      </c>
      <c r="F3" s="2">
        <f>IF(TableI[[#This Row],[Sold]]=0, 0, TableI[[#This Row],[Sold]] - TableI[[#This Row],[Purchased]])</f>
        <v>62.550000000000011</v>
      </c>
      <c r="G3" t="str">
        <f>IF(TableI[[#This Row],[Sold]]=0, "Available", "Sold")</f>
        <v>Sold</v>
      </c>
    </row>
    <row r="4" spans="1:7" x14ac:dyDescent="0.25">
      <c r="A4">
        <v>3</v>
      </c>
      <c r="B4" t="str">
        <f>IFERROR(VLOOKUP(TableI[[#This Row],[OrderID]],TableP[#All],2,FALSE),"")</f>
        <v>CPU01</v>
      </c>
      <c r="C4" t="str">
        <f>IFERROR(VLOOKUP(TableI[[#This Row],[OrderID]],TableP[#All],4,FALSE),"")</f>
        <v>AMD Ryzen™ 7 5800XT 8-Core, 16-Thread Unlocked Desktop Processor</v>
      </c>
      <c r="D4" s="2">
        <f>IFERROR(VLOOKUP(TableI[[#This Row],[OrderID]],TableP[#All],6,FALSE),0)</f>
        <v>207</v>
      </c>
      <c r="E4" s="2">
        <f>IFERROR(VLOOKUP(TableI[[#This Row],[OrderID]],TableS[#All],8,FALSE),0)</f>
        <v>300</v>
      </c>
      <c r="F4" s="2">
        <f>IF(TableI[[#This Row],[Sold]]=0, 0, TableI[[#This Row],[Sold]] - TableI[[#This Row],[Purchased]])</f>
        <v>93</v>
      </c>
      <c r="G4" t="str">
        <f>IF(TableI[[#This Row],[Sold]]=0, "Available", "Sold")</f>
        <v>Sold</v>
      </c>
    </row>
    <row r="5" spans="1:7" x14ac:dyDescent="0.25">
      <c r="A5">
        <v>4</v>
      </c>
      <c r="B5" t="str">
        <f>IFERROR(VLOOKUP(TableI[[#This Row],[OrderID]],TableP[#All],2,FALSE),"")</f>
        <v>CASE01</v>
      </c>
      <c r="C5" t="str">
        <f>IFERROR(VLOOKUP(TableI[[#This Row],[OrderID]],TableP[#All],4,FALSE),"")</f>
        <v>F300 (2025) PC Case - Pre-Installed 4 No RGB Fan, ATX Mid-Tower Gaming PC Case, 270° Panoramic Glass with Type-C, FOIFKIN (Black)</v>
      </c>
      <c r="D5" s="2">
        <f>IFERROR(VLOOKUP(TableI[[#This Row],[OrderID]],TableP[#All],6,FALSE),0)</f>
        <v>64.989999999999995</v>
      </c>
      <c r="E5" s="2">
        <f>IFERROR(VLOOKUP(TableI[[#This Row],[OrderID]],TableS[#All],8,FALSE),0)</f>
        <v>100</v>
      </c>
      <c r="F5" s="2">
        <f>IF(TableI[[#This Row],[Sold]]=0, 0, TableI[[#This Row],[Sold]] - TableI[[#This Row],[Purchased]])</f>
        <v>35.010000000000005</v>
      </c>
      <c r="G5" t="str">
        <f>IF(TableI[[#This Row],[Sold]]=0, "Available", "Sold")</f>
        <v>Sold</v>
      </c>
    </row>
    <row r="6" spans="1:7" x14ac:dyDescent="0.25">
      <c r="A6">
        <v>5</v>
      </c>
      <c r="B6" t="str">
        <f>IFERROR(VLOOKUP(TableI[[#This Row],[OrderID]],TableP[#All],2,FALSE),"")</f>
        <v>CASE01</v>
      </c>
      <c r="C6" t="str">
        <f>IFERROR(VLOOKUP(TableI[[#This Row],[OrderID]],TableP[#All],4,FALSE),"")</f>
        <v>darkFlash ATX Mid-Tower PC Case, Pre-Install 4 PWM ARGB Fans Computer Case, Full View Dual Tempered Glass Gaming PC Case, Type C Port, Supports up to 360mm Water Cooling Radiator, Black(DS900)</v>
      </c>
      <c r="D6" s="2">
        <f>IFERROR(VLOOKUP(TableI[[#This Row],[OrderID]],TableP[#All],6,FALSE),0)</f>
        <v>82.99</v>
      </c>
      <c r="E6" s="2">
        <f>IFERROR(VLOOKUP(TableI[[#This Row],[OrderID]],TableS[#All],8,FALSE),0)</f>
        <v>150</v>
      </c>
      <c r="F6" s="2">
        <f>IF(TableI[[#This Row],[Sold]]=0, 0, TableI[[#This Row],[Sold]] - TableI[[#This Row],[Purchased]])</f>
        <v>67.010000000000005</v>
      </c>
      <c r="G6" t="str">
        <f>IF(TableI[[#This Row],[Sold]]=0, "Available", "Sold")</f>
        <v>Sold</v>
      </c>
    </row>
    <row r="7" spans="1:7" x14ac:dyDescent="0.25">
      <c r="A7">
        <v>6</v>
      </c>
      <c r="B7" t="str">
        <f>IFERROR(VLOOKUP(TableI[[#This Row],[OrderID]],TableP[#All],2,FALSE),"")</f>
        <v>CASE01</v>
      </c>
      <c r="C7" t="str">
        <f>IFERROR(VLOOKUP(TableI[[#This Row],[OrderID]],TableP[#All],4,FALSE),"")</f>
        <v>NZXT H5 Flow 2024 - Compact ATX Mid-Tower PC Gaming Case - High Airflow - 2 x 120mm Fans Included - 360mm Front &amp; 240mm Top Radiator Support - Cable Management System - Tempered Glass - Black</v>
      </c>
      <c r="D7" s="2">
        <f>IFERROR(VLOOKUP(TableI[[#This Row],[OrderID]],TableP[#All],6,FALSE),0)</f>
        <v>84.99</v>
      </c>
      <c r="E7" s="2">
        <f>IFERROR(VLOOKUP(TableI[[#This Row],[OrderID]],TableS[#All],8,FALSE),0)</f>
        <v>140</v>
      </c>
      <c r="F7" s="2">
        <f>IF(TableI[[#This Row],[Sold]]=0, 0, TableI[[#This Row],[Sold]] - TableI[[#This Row],[Purchased]])</f>
        <v>55.010000000000005</v>
      </c>
      <c r="G7" t="str">
        <f>IF(TableI[[#This Row],[Sold]]=0, "Available", "Sold")</f>
        <v>Sold</v>
      </c>
    </row>
    <row r="8" spans="1:7" x14ac:dyDescent="0.25">
      <c r="A8">
        <v>7</v>
      </c>
      <c r="B8" t="str">
        <f>IFERROR(VLOOKUP(TableI[[#This Row],[OrderID]],TableP[#All],2,FALSE),"")</f>
        <v>GPU01</v>
      </c>
      <c r="C8" t="str">
        <f>IFERROR(VLOOKUP(TableI[[#This Row],[OrderID]],TableP[#All],4,FALSE),"")</f>
        <v>Sapphire 11339-04-20G Pulse AMD Radeon RX 7600 XT Gaming Graphics Card with 16GB GDDR6, AMD RDNA 3</v>
      </c>
      <c r="D8" s="2">
        <f>IFERROR(VLOOKUP(TableI[[#This Row],[OrderID]],TableP[#All],6,FALSE),0)</f>
        <v>501.26</v>
      </c>
      <c r="E8" s="2">
        <f>IFERROR(VLOOKUP(TableI[[#This Row],[OrderID]],TableS[#All],8,FALSE),0)</f>
        <v>800</v>
      </c>
      <c r="F8" s="2">
        <f>IF(TableI[[#This Row],[Sold]]=0, 0, TableI[[#This Row],[Sold]] - TableI[[#This Row],[Purchased]])</f>
        <v>298.74</v>
      </c>
      <c r="G8" t="str">
        <f>IF(TableI[[#This Row],[Sold]]=0, "Available", "Sold")</f>
        <v>Sold</v>
      </c>
    </row>
    <row r="9" spans="1:7" x14ac:dyDescent="0.25">
      <c r="A9">
        <v>8</v>
      </c>
      <c r="B9" t="str">
        <f>IFERROR(VLOOKUP(TableI[[#This Row],[OrderID]],TableP[#All],2,FALSE),"")</f>
        <v>GPU01</v>
      </c>
      <c r="C9" t="str">
        <f>IFERROR(VLOOKUP(TableI[[#This Row],[OrderID]],TableP[#All],4,FALSE),"")</f>
        <v>maxsun Graphics Card GeForce RTX 3060 Ti OC Edtion 8G Vidoe Gaming Computer Graphics Cards for Copmputer Gaming PC PCI Express 4.0 x16 HDMI 2.1 GPU (GDDR6 8G)</v>
      </c>
      <c r="D9" s="2">
        <f>IFERROR(VLOOKUP(TableI[[#This Row],[OrderID]],TableP[#All],6,FALSE),0)</f>
        <v>318.99</v>
      </c>
      <c r="E9" s="2">
        <f>IFERROR(VLOOKUP(TableI[[#This Row],[OrderID]],TableS[#All],8,FALSE),0)</f>
        <v>400</v>
      </c>
      <c r="F9" s="2">
        <f>IF(TableI[[#This Row],[Sold]]=0, 0, TableI[[#This Row],[Sold]] - TableI[[#This Row],[Purchased]])</f>
        <v>81.009999999999991</v>
      </c>
      <c r="G9" t="str">
        <f>IF(TableI[[#This Row],[Sold]]=0, "Available", "Sold")</f>
        <v>Sold</v>
      </c>
    </row>
    <row r="10" spans="1:7" x14ac:dyDescent="0.25">
      <c r="A10">
        <v>9</v>
      </c>
      <c r="B10" t="str">
        <f>IFERROR(VLOOKUP(TableI[[#This Row],[OrderID]],TableP[#All],2,FALSE),"")</f>
        <v>LAPTOP01</v>
      </c>
      <c r="C10" t="str">
        <f>IFERROR(VLOOKUP(TableI[[#This Row],[OrderID]],TableP[#All],4,FALSE),"")</f>
        <v>ASUS ROG Strix G16 (2025) Gaming Laptop, 16” FHD+ 16:10 165Hz/3ms Display, NVIDIA® GeForce RTX™ 5060 Laptop GPU, Intel® Core™ i7 Processor 14650HX, 16GB DDR5, 1TB Gen 4 SSD, Wi-Fi 7, Windows 11 Home</v>
      </c>
      <c r="D10" s="2">
        <f>IFERROR(VLOOKUP(TableI[[#This Row],[OrderID]],TableP[#All],6,FALSE),0)</f>
        <v>1399.99</v>
      </c>
      <c r="E10" s="2">
        <f>IFERROR(VLOOKUP(TableI[[#This Row],[OrderID]],TableS[#All],8,FALSE),0)</f>
        <v>1800</v>
      </c>
      <c r="F10" s="2">
        <f>IF(TableI[[#This Row],[Sold]]=0, 0, TableI[[#This Row],[Sold]] - TableI[[#This Row],[Purchased]])</f>
        <v>400.01</v>
      </c>
      <c r="G10" t="str">
        <f>IF(TableI[[#This Row],[Sold]]=0, "Available", "Sold")</f>
        <v>Sold</v>
      </c>
    </row>
    <row r="11" spans="1:7" x14ac:dyDescent="0.25">
      <c r="A11">
        <v>10</v>
      </c>
      <c r="B11" t="str">
        <f>IFERROR(VLOOKUP(TableI[[#This Row],[OrderID]],TableP[#All],2,FALSE),"")</f>
        <v>RAM01</v>
      </c>
      <c r="C11" t="str">
        <f>IFERROR(VLOOKUP(TableI[[#This Row],[OrderID]],TableP[#All],4,FALSE),"")</f>
        <v>CORSAIR Vengeance LPX DDR4 RAM 32GB (2x16GB) 3200MHz CL16-20-20-38 1.35V Intel AMD Desktop Computer Memory - Black (CMK32GX4M2E3200C16)</v>
      </c>
      <c r="D11" s="2">
        <f>IFERROR(VLOOKUP(TableI[[#This Row],[OrderID]],TableP[#All],6,FALSE),0)</f>
        <v>192.99</v>
      </c>
      <c r="E11" s="2">
        <f>IFERROR(VLOOKUP(TableI[[#This Row],[OrderID]],TableS[#All],8,FALSE),0)</f>
        <v>250</v>
      </c>
      <c r="F11" s="2">
        <f>IF(TableI[[#This Row],[Sold]]=0, 0, TableI[[#This Row],[Sold]] - TableI[[#This Row],[Purchased]])</f>
        <v>57.009999999999991</v>
      </c>
      <c r="G11" t="str">
        <f>IF(TableI[[#This Row],[Sold]]=0, "Available", "Sold")</f>
        <v>Sold</v>
      </c>
    </row>
    <row r="12" spans="1:7" x14ac:dyDescent="0.25">
      <c r="A12">
        <v>11</v>
      </c>
      <c r="B12" t="str">
        <f>IFERROR(VLOOKUP(TableI[[#This Row],[OrderID]],TableP[#All],2,FALSE),"")</f>
        <v>RAM01</v>
      </c>
      <c r="C12" t="str">
        <f>IFERROR(VLOOKUP(TableI[[#This Row],[OrderID]],TableP[#All],4,FALSE),"")</f>
        <v>CORSAIR Vengence RGB DDR5 RAM 32GB (2x16GB) 6000MHz CL36-44-44-96 1.35V Intel XMP 3.0 Computer Memory – Black (CMH32GX5M2E6000C36)</v>
      </c>
      <c r="D12" s="2">
        <f>IFERROR(VLOOKUP(TableI[[#This Row],[OrderID]],TableP[#All],6,FALSE),0)</f>
        <v>351.99</v>
      </c>
      <c r="E12" s="2">
        <f>IFERROR(VLOOKUP(TableI[[#This Row],[OrderID]],TableS[#All],8,FALSE),0)</f>
        <v>420</v>
      </c>
      <c r="F12" s="2">
        <f>IF(TableI[[#This Row],[Sold]]=0, 0, TableI[[#This Row],[Sold]] - TableI[[#This Row],[Purchased]])</f>
        <v>68.009999999999991</v>
      </c>
      <c r="G12" t="str">
        <f>IF(TableI[[#This Row],[Sold]]=0, "Available", "Sold")</f>
        <v>Sold</v>
      </c>
    </row>
    <row r="13" spans="1:7" x14ac:dyDescent="0.25">
      <c r="A13">
        <v>12</v>
      </c>
      <c r="B13" t="str">
        <f>IFERROR(VLOOKUP(TableI[[#This Row],[OrderID]],TableP[#All],2,FALSE),"")</f>
        <v>MONITOR01</v>
      </c>
      <c r="C13" t="str">
        <f>IFERROR(VLOOKUP(TableI[[#This Row],[OrderID]],TableP[#All],4,FALSE),"")</f>
        <v>SANSUI 32 Inch Curved 240Hz Gaming Monitor High Refresh Rate, FHD 1080P Gaming PC Monitor HDMI DP1.4, Curved 1500R, 1Ms MPRT, HDR,Metal Stand,VESA Compatible(DP Cable Incl.)</v>
      </c>
      <c r="D13" s="2">
        <f>IFERROR(VLOOKUP(TableI[[#This Row],[OrderID]],TableP[#All],6,FALSE),0)</f>
        <v>179.99</v>
      </c>
      <c r="E13" s="2">
        <f>IFERROR(VLOOKUP(TableI[[#This Row],[OrderID]],TableS[#All],8,FALSE),0)</f>
        <v>260</v>
      </c>
      <c r="F13" s="2">
        <f>IF(TableI[[#This Row],[Sold]]=0, 0, TableI[[#This Row],[Sold]] - TableI[[#This Row],[Purchased]])</f>
        <v>80.009999999999991</v>
      </c>
      <c r="G13" t="str">
        <f>IF(TableI[[#This Row],[Sold]]=0, "Available", "Sold")</f>
        <v>Sold</v>
      </c>
    </row>
    <row r="14" spans="1:7" x14ac:dyDescent="0.25">
      <c r="A14">
        <v>13</v>
      </c>
      <c r="B14" t="str">
        <f>IFERROR(VLOOKUP(TableI[[#This Row],[OrderID]],TableP[#All],2,FALSE),"")</f>
        <v>MONITOR01</v>
      </c>
      <c r="C14" t="str">
        <f>IFERROR(VLOOKUP(TableI[[#This Row],[OrderID]],TableP[#All],4,FALSE),"")</f>
        <v>ArcticPro 27inch 240Hz Curved Gaming Monitor, FHD 1080p, 1ms Response Time, 4000:1 Contrast, PC Monitor, Adaptive sync, 3-Sided Frameless, Ultra Slim, 120% sRGB, Bluelight Filter,HDMI &amp; DP Ports,Black</v>
      </c>
      <c r="D14" s="2">
        <f>IFERROR(VLOOKUP(TableI[[#This Row],[OrderID]],TableP[#All],6,FALSE),0)</f>
        <v>125.99</v>
      </c>
      <c r="E14" s="2">
        <f>IFERROR(VLOOKUP(TableI[[#This Row],[OrderID]],TableS[#All],8,FALSE),0)</f>
        <v>0</v>
      </c>
      <c r="F14" s="2">
        <f>IF(TableI[[#This Row],[Sold]]=0, 0, TableI[[#This Row],[Sold]] - TableI[[#This Row],[Purchased]])</f>
        <v>0</v>
      </c>
      <c r="G14" t="str">
        <f>IF(TableI[[#This Row],[Sold]]=0, "Available", "Sold")</f>
        <v>Available</v>
      </c>
    </row>
    <row r="15" spans="1:7" x14ac:dyDescent="0.25">
      <c r="A15">
        <v>14</v>
      </c>
      <c r="B15" t="str">
        <f>IFERROR(VLOOKUP(TableI[[#This Row],[OrderID]],TableP[#All],2,FALSE),"")</f>
        <v>MONITOR01</v>
      </c>
      <c r="C15" t="str">
        <f>IFERROR(VLOOKUP(TableI[[#This Row],[OrderID]],TableP[#All],4,FALSE),"")</f>
        <v>Dell 27 Plus 4K Monitor - S2725QS - 27-inch 4K (3840 x 2160) 120Hz 16:9 Display, IPS Panel, AMD FreeSync Premium, sRGB 99%, Integrated Speakers, 1500:1 Contrast Ratio, Comfortview - Ash White</v>
      </c>
      <c r="D15" s="2">
        <f>IFERROR(VLOOKUP(TableI[[#This Row],[OrderID]],TableP[#All],6,FALSE),0)</f>
        <v>239.99</v>
      </c>
      <c r="E15" s="2">
        <f>IFERROR(VLOOKUP(TableI[[#This Row],[OrderID]],TableS[#All],8,FALSE),0)</f>
        <v>0</v>
      </c>
      <c r="F15" s="2">
        <f>IF(TableI[[#This Row],[Sold]]=0, 0, TableI[[#This Row],[Sold]] - TableI[[#This Row],[Purchased]])</f>
        <v>0</v>
      </c>
      <c r="G15" t="str">
        <f>IF(TableI[[#This Row],[Sold]]=0, "Available", "Sold")</f>
        <v>Available</v>
      </c>
    </row>
    <row r="16" spans="1:7" x14ac:dyDescent="0.25">
      <c r="A16">
        <v>15</v>
      </c>
      <c r="B16" t="str">
        <f>IFERROR(VLOOKUP(TableI[[#This Row],[OrderID]],TableP[#All],2,FALSE),"")</f>
        <v>RAM01</v>
      </c>
      <c r="C16" t="str">
        <f>IFERROR(VLOOKUP(TableI[[#This Row],[OrderID]],TableP[#All],4,FALSE),"")</f>
        <v>G.SKILL Trident Z5 Royal Neo Series DDR5 RAM (AMD EXPO) 32GB (2x16GB) 6000MT/s CL28-36-36-96 1.40V Desktop Computer Memory U-DIMM - Silver (F5-6000J2836G16GX2-TR5NS)</v>
      </c>
      <c r="D16" s="2">
        <f>IFERROR(VLOOKUP(TableI[[#This Row],[OrderID]],TableP[#All],6,FALSE),0)</f>
        <v>599.99</v>
      </c>
      <c r="E16" s="2">
        <f>IFERROR(VLOOKUP(TableI[[#This Row],[OrderID]],TableS[#All],8,FALSE),0)</f>
        <v>0</v>
      </c>
      <c r="F16" s="2">
        <f>IF(TableI[[#This Row],[Sold]]=0, 0, TableI[[#This Row],[Sold]] - TableI[[#This Row],[Purchased]])</f>
        <v>0</v>
      </c>
      <c r="G16" t="str">
        <f>IF(TableI[[#This Row],[Sold]]=0, "Available", "Sold")</f>
        <v>Available</v>
      </c>
    </row>
    <row r="17" spans="1:7" x14ac:dyDescent="0.25">
      <c r="A17">
        <v>16</v>
      </c>
      <c r="B17" t="str">
        <f>IFERROR(VLOOKUP(TableI[[#This Row],[OrderID]],TableP[#All],2,FALSE),"")</f>
        <v>RAM01</v>
      </c>
      <c r="C17" t="str">
        <f>IFERROR(VLOOKUP(TableI[[#This Row],[OrderID]],TableP[#All],4,FALSE),"")</f>
        <v>Crucial Pro 32GB DDR5 RAM Kit (2x16GB),CL36 6000MHz, Overclocking Desktop Gaming Memory, Intel XMP 3.0 &amp; AMD Expo Compatible, Black - CP2K16G60C36U5B</v>
      </c>
      <c r="D17" s="2">
        <f>IFERROR(VLOOKUP(TableI[[#This Row],[OrderID]],TableP[#All],6,FALSE),0)</f>
        <v>369</v>
      </c>
      <c r="E17" s="2">
        <f>IFERROR(VLOOKUP(TableI[[#This Row],[OrderID]],TableS[#All],8,FALSE),0)</f>
        <v>420</v>
      </c>
      <c r="F17" s="2">
        <f>IF(TableI[[#This Row],[Sold]]=0, 0, TableI[[#This Row],[Sold]] - TableI[[#This Row],[Purchased]])</f>
        <v>51</v>
      </c>
      <c r="G17" t="str">
        <f>IF(TableI[[#This Row],[Sold]]=0, "Available", "Sold")</f>
        <v>Sold</v>
      </c>
    </row>
    <row r="18" spans="1:7" x14ac:dyDescent="0.25">
      <c r="A18">
        <v>17</v>
      </c>
      <c r="B18" t="str">
        <f>IFERROR(VLOOKUP(TableI[[#This Row],[OrderID]],TableP[#All],2,FALSE),"")</f>
        <v>RAM01</v>
      </c>
      <c r="C18" t="str">
        <f>IFERROR(VLOOKUP(TableI[[#This Row],[OrderID]],TableP[#All],4,FALSE),"")</f>
        <v>G.SKILL Trident Z RGB Series DDR4 RAM (XMP) 32GB (2x16GB) 3600MT/s CL18-22-22-42 1.35V Intel AMD Desktop Computer Memory U-DIMM (F4-3600C18D-32GTZR)</v>
      </c>
      <c r="D18" s="2">
        <f>IFERROR(VLOOKUP(TableI[[#This Row],[OrderID]],TableP[#All],6,FALSE),0)</f>
        <v>319.99</v>
      </c>
      <c r="E18" s="2">
        <f>IFERROR(VLOOKUP(TableI[[#This Row],[OrderID]],TableS[#All],8,FALSE),0)</f>
        <v>0</v>
      </c>
      <c r="F18" s="2">
        <f>IF(TableI[[#This Row],[Sold]]=0, 0, TableI[[#This Row],[Sold]] - TableI[[#This Row],[Purchased]])</f>
        <v>0</v>
      </c>
      <c r="G18" t="str">
        <f>IF(TableI[[#This Row],[Sold]]=0, "Available", "Sold")</f>
        <v>Available</v>
      </c>
    </row>
    <row r="19" spans="1:7" x14ac:dyDescent="0.25">
      <c r="A19">
        <v>18</v>
      </c>
      <c r="B19" t="str">
        <f>IFERROR(VLOOKUP(TableI[[#This Row],[OrderID]],TableP[#All],2,FALSE),"")</f>
        <v>LAPTOP01</v>
      </c>
      <c r="C19" t="str">
        <f>IFERROR(VLOOKUP(TableI[[#This Row],[OrderID]],TableP[#All],4,FALSE),"")</f>
        <v>Apple 2025 MacBook Air 13-inch Laptop with M4 chip: Built for Apple Intelligence, 13.6-inch Liquid Retina Display, 16GB Unified Memory, 256GB SSD Storage, 12MP Center Stage Camera, Touch ID; Midnight</v>
      </c>
      <c r="D19" s="2">
        <f>IFERROR(VLOOKUP(TableI[[#This Row],[OrderID]],TableP[#All],6,FALSE),0)</f>
        <v>949.99</v>
      </c>
      <c r="E19" s="2">
        <f>IFERROR(VLOOKUP(TableI[[#This Row],[OrderID]],TableS[#All],8,FALSE),0)</f>
        <v>0</v>
      </c>
      <c r="F19" s="2">
        <f>IF(TableI[[#This Row],[Sold]]=0, 0, TableI[[#This Row],[Sold]] - TableI[[#This Row],[Purchased]])</f>
        <v>0</v>
      </c>
      <c r="G19" t="str">
        <f>IF(TableI[[#This Row],[Sold]]=0, "Available", "Sold")</f>
        <v>Available</v>
      </c>
    </row>
    <row r="20" spans="1:7" x14ac:dyDescent="0.25">
      <c r="A20">
        <v>19</v>
      </c>
      <c r="B20" t="str">
        <f>IFERROR(VLOOKUP(TableI[[#This Row],[OrderID]],TableP[#All],2,FALSE),"")</f>
        <v>POWER01</v>
      </c>
      <c r="C20" t="str">
        <f>IFERROR(VLOOKUP(TableI[[#This Row],[OrderID]],TableP[#All],4,FALSE),"")</f>
        <v>MSI MAG A850GL PCIE5, Fully Modular Compact Gaming 850W Power Supply, 80+ Gold, ATX 3.1 &amp; PCIe 5.1 Ready, Native Dual-Color 12V-2x6 Cable, 10 Year Warranty</v>
      </c>
      <c r="D20" s="2">
        <f>IFERROR(VLOOKUP(TableI[[#This Row],[OrderID]],TableP[#All],6,FALSE),0)</f>
        <v>119.99</v>
      </c>
      <c r="E20" s="2">
        <f>IFERROR(VLOOKUP(TableI[[#This Row],[OrderID]],TableS[#All],8,FALSE),0)</f>
        <v>0</v>
      </c>
      <c r="F20" s="2">
        <f>IF(TableI[[#This Row],[Sold]]=0, 0, TableI[[#This Row],[Sold]] - TableI[[#This Row],[Purchased]])</f>
        <v>0</v>
      </c>
      <c r="G20" s="23" t="str">
        <f>IF(TableI[[#This Row],[Sold]]=0, "Available", "Sold")</f>
        <v>Available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705ED-BE25-45EE-90AA-A65147870806}">
  <sheetPr codeName="Sheet5"/>
  <dimension ref="A1:F31"/>
  <sheetViews>
    <sheetView workbookViewId="0">
      <selection activeCell="E25" sqref="E25"/>
    </sheetView>
  </sheetViews>
  <sheetFormatPr defaultRowHeight="15" x14ac:dyDescent="0.25"/>
  <cols>
    <col min="1" max="1" width="14.42578125" customWidth="1"/>
    <col min="2" max="2" width="14.140625" customWidth="1"/>
    <col min="3" max="3" width="13" customWidth="1"/>
    <col min="4" max="4" width="15.28515625" customWidth="1"/>
    <col min="5" max="5" width="12.28515625" customWidth="1"/>
    <col min="6" max="6" width="20.140625" customWidth="1"/>
  </cols>
  <sheetData>
    <row r="1" spans="1:6" x14ac:dyDescent="0.25">
      <c r="A1" t="s">
        <v>78</v>
      </c>
      <c r="B1" t="s">
        <v>79</v>
      </c>
      <c r="C1" t="s">
        <v>80</v>
      </c>
      <c r="D1" t="s">
        <v>81</v>
      </c>
      <c r="E1" t="s">
        <v>82</v>
      </c>
      <c r="F1" t="s">
        <v>83</v>
      </c>
    </row>
    <row r="2" spans="1:6" x14ac:dyDescent="0.25">
      <c r="A2" t="s">
        <v>84</v>
      </c>
      <c r="B2" s="1">
        <v>46023</v>
      </c>
      <c r="C2" t="s">
        <v>85</v>
      </c>
      <c r="D2" t="s">
        <v>86</v>
      </c>
      <c r="E2" s="2">
        <v>4.5</v>
      </c>
      <c r="F2" t="s">
        <v>87</v>
      </c>
    </row>
    <row r="3" spans="1:6" x14ac:dyDescent="0.25">
      <c r="A3" t="s">
        <v>88</v>
      </c>
      <c r="B3" s="1">
        <v>46023</v>
      </c>
      <c r="C3" t="s">
        <v>85</v>
      </c>
      <c r="D3" t="s">
        <v>89</v>
      </c>
      <c r="E3" s="2">
        <v>6</v>
      </c>
      <c r="F3" t="s">
        <v>87</v>
      </c>
    </row>
    <row r="4" spans="1:6" x14ac:dyDescent="0.25">
      <c r="A4" t="s">
        <v>90</v>
      </c>
      <c r="B4" s="1">
        <v>46023</v>
      </c>
      <c r="C4" t="s">
        <v>91</v>
      </c>
      <c r="D4" t="s">
        <v>92</v>
      </c>
      <c r="E4" s="2">
        <v>3.5</v>
      </c>
      <c r="F4" t="s">
        <v>87</v>
      </c>
    </row>
    <row r="5" spans="1:6" x14ac:dyDescent="0.25">
      <c r="A5" t="s">
        <v>93</v>
      </c>
      <c r="B5" s="1">
        <v>46024</v>
      </c>
      <c r="C5" t="s">
        <v>94</v>
      </c>
      <c r="D5" t="s">
        <v>95</v>
      </c>
      <c r="E5" s="2">
        <v>6</v>
      </c>
      <c r="F5" t="s">
        <v>71</v>
      </c>
    </row>
    <row r="6" spans="1:6" x14ac:dyDescent="0.25">
      <c r="A6" t="s">
        <v>96</v>
      </c>
      <c r="B6" s="1">
        <v>46024</v>
      </c>
      <c r="C6" t="s">
        <v>85</v>
      </c>
      <c r="D6" t="s">
        <v>97</v>
      </c>
      <c r="E6" s="2">
        <v>5</v>
      </c>
      <c r="F6" t="s">
        <v>87</v>
      </c>
    </row>
    <row r="7" spans="1:6" x14ac:dyDescent="0.25">
      <c r="A7" t="s">
        <v>98</v>
      </c>
      <c r="B7" s="1">
        <v>46025</v>
      </c>
      <c r="C7" t="s">
        <v>85</v>
      </c>
      <c r="D7" t="s">
        <v>99</v>
      </c>
      <c r="E7" s="2">
        <v>2.4</v>
      </c>
      <c r="F7" t="s">
        <v>87</v>
      </c>
    </row>
    <row r="8" spans="1:6" x14ac:dyDescent="0.25">
      <c r="A8" t="s">
        <v>100</v>
      </c>
      <c r="B8" s="1">
        <v>46025</v>
      </c>
      <c r="C8" t="s">
        <v>91</v>
      </c>
      <c r="D8" t="s">
        <v>101</v>
      </c>
      <c r="E8" s="2">
        <v>2</v>
      </c>
      <c r="F8" t="s">
        <v>87</v>
      </c>
    </row>
    <row r="9" spans="1:6" x14ac:dyDescent="0.25">
      <c r="A9" t="s">
        <v>102</v>
      </c>
      <c r="B9" s="1">
        <v>46025</v>
      </c>
      <c r="C9" t="s">
        <v>103</v>
      </c>
      <c r="D9" t="s">
        <v>104</v>
      </c>
      <c r="E9" s="2">
        <v>6</v>
      </c>
      <c r="F9" t="s">
        <v>71</v>
      </c>
    </row>
    <row r="10" spans="1:6" x14ac:dyDescent="0.25">
      <c r="A10" t="s">
        <v>105</v>
      </c>
      <c r="B10" s="1">
        <v>46026</v>
      </c>
      <c r="C10" t="s">
        <v>91</v>
      </c>
      <c r="D10" t="s">
        <v>106</v>
      </c>
      <c r="E10" s="2">
        <v>4.5</v>
      </c>
      <c r="F10" t="s">
        <v>87</v>
      </c>
    </row>
    <row r="11" spans="1:6" x14ac:dyDescent="0.25">
      <c r="A11" t="s">
        <v>107</v>
      </c>
      <c r="B11" s="1">
        <v>46026</v>
      </c>
      <c r="C11" t="s">
        <v>85</v>
      </c>
      <c r="D11" t="s">
        <v>108</v>
      </c>
      <c r="E11" s="2">
        <v>1</v>
      </c>
      <c r="F11" t="s">
        <v>87</v>
      </c>
    </row>
    <row r="12" spans="1:6" x14ac:dyDescent="0.25">
      <c r="A12" t="s">
        <v>109</v>
      </c>
      <c r="B12" s="1">
        <v>46027</v>
      </c>
      <c r="C12" t="s">
        <v>94</v>
      </c>
      <c r="D12" t="s">
        <v>110</v>
      </c>
      <c r="E12" s="2">
        <v>2.5</v>
      </c>
      <c r="F12" t="s">
        <v>87</v>
      </c>
    </row>
    <row r="13" spans="1:6" x14ac:dyDescent="0.25">
      <c r="A13" t="s">
        <v>111</v>
      </c>
      <c r="B13" s="1">
        <v>46028</v>
      </c>
      <c r="C13" t="s">
        <v>85</v>
      </c>
      <c r="D13" t="s">
        <v>112</v>
      </c>
      <c r="E13" s="2">
        <v>2.5</v>
      </c>
      <c r="F13" t="s">
        <v>87</v>
      </c>
    </row>
    <row r="14" spans="1:6" x14ac:dyDescent="0.25">
      <c r="A14" t="s">
        <v>113</v>
      </c>
      <c r="B14" s="1">
        <v>46028</v>
      </c>
      <c r="C14" t="s">
        <v>91</v>
      </c>
      <c r="D14" t="s">
        <v>114</v>
      </c>
      <c r="E14" s="2">
        <v>3</v>
      </c>
      <c r="F14" t="s">
        <v>87</v>
      </c>
    </row>
    <row r="15" spans="1:6" x14ac:dyDescent="0.25">
      <c r="A15" t="s">
        <v>115</v>
      </c>
      <c r="B15" s="1">
        <v>46028</v>
      </c>
      <c r="C15" t="s">
        <v>85</v>
      </c>
      <c r="D15" t="s">
        <v>116</v>
      </c>
      <c r="E15" s="2">
        <v>3</v>
      </c>
      <c r="F15" t="s">
        <v>87</v>
      </c>
    </row>
    <row r="16" spans="1:6" x14ac:dyDescent="0.25">
      <c r="A16" t="s">
        <v>117</v>
      </c>
      <c r="B16" s="1">
        <v>46029</v>
      </c>
      <c r="C16" t="s">
        <v>103</v>
      </c>
      <c r="D16" t="s">
        <v>118</v>
      </c>
      <c r="E16" s="2">
        <v>7</v>
      </c>
      <c r="F16" t="s">
        <v>71</v>
      </c>
    </row>
    <row r="17" spans="1:6" x14ac:dyDescent="0.25">
      <c r="A17" t="s">
        <v>119</v>
      </c>
      <c r="B17" s="1">
        <v>46029</v>
      </c>
      <c r="C17" t="s">
        <v>85</v>
      </c>
      <c r="D17" t="s">
        <v>120</v>
      </c>
      <c r="E17" s="2">
        <v>4</v>
      </c>
      <c r="F17" t="s">
        <v>87</v>
      </c>
    </row>
    <row r="18" spans="1:6" x14ac:dyDescent="0.25">
      <c r="A18" t="s">
        <v>121</v>
      </c>
      <c r="B18" s="1">
        <v>46029</v>
      </c>
      <c r="C18" t="s">
        <v>91</v>
      </c>
      <c r="D18" t="s">
        <v>122</v>
      </c>
      <c r="E18" s="2">
        <v>4</v>
      </c>
      <c r="F18" t="s">
        <v>87</v>
      </c>
    </row>
    <row r="19" spans="1:6" x14ac:dyDescent="0.25">
      <c r="A19" t="s">
        <v>123</v>
      </c>
      <c r="B19" s="1">
        <v>46029</v>
      </c>
      <c r="C19" t="s">
        <v>94</v>
      </c>
      <c r="D19" t="s">
        <v>124</v>
      </c>
      <c r="E19" s="2">
        <v>1.5</v>
      </c>
      <c r="F19" t="s">
        <v>87</v>
      </c>
    </row>
    <row r="20" spans="1:6" x14ac:dyDescent="0.25">
      <c r="A20" t="s">
        <v>125</v>
      </c>
      <c r="B20" s="1">
        <v>46030</v>
      </c>
      <c r="C20" t="s">
        <v>103</v>
      </c>
      <c r="D20" t="s">
        <v>126</v>
      </c>
      <c r="E20" s="2">
        <v>9</v>
      </c>
      <c r="F20" t="s">
        <v>87</v>
      </c>
    </row>
    <row r="21" spans="1:6" x14ac:dyDescent="0.25">
      <c r="A21" t="s">
        <v>127</v>
      </c>
      <c r="B21" s="1">
        <v>46032</v>
      </c>
      <c r="C21" t="s">
        <v>103</v>
      </c>
      <c r="D21" t="s">
        <v>128</v>
      </c>
      <c r="E21" s="2">
        <v>8</v>
      </c>
      <c r="F21" t="s">
        <v>87</v>
      </c>
    </row>
    <row r="22" spans="1:6" x14ac:dyDescent="0.25">
      <c r="A22" t="s">
        <v>129</v>
      </c>
      <c r="B22" s="1">
        <v>46033</v>
      </c>
      <c r="C22" t="s">
        <v>103</v>
      </c>
      <c r="D22" t="s">
        <v>130</v>
      </c>
      <c r="E22" s="2">
        <v>8</v>
      </c>
      <c r="F22" t="s">
        <v>87</v>
      </c>
    </row>
    <row r="23" spans="1:6" x14ac:dyDescent="0.25">
      <c r="A23" t="s">
        <v>131</v>
      </c>
      <c r="B23" s="1">
        <v>46034</v>
      </c>
      <c r="C23" t="s">
        <v>103</v>
      </c>
      <c r="D23" t="s">
        <v>132</v>
      </c>
      <c r="E23" s="2">
        <v>9</v>
      </c>
      <c r="F23" t="s">
        <v>87</v>
      </c>
    </row>
    <row r="24" spans="1:6" x14ac:dyDescent="0.25">
      <c r="A24" t="s">
        <v>133</v>
      </c>
      <c r="B24" s="1">
        <v>46039</v>
      </c>
      <c r="C24" t="s">
        <v>103</v>
      </c>
      <c r="D24" t="s">
        <v>134</v>
      </c>
      <c r="E24" s="2">
        <v>9</v>
      </c>
      <c r="F24" t="s">
        <v>87</v>
      </c>
    </row>
    <row r="25" spans="1:6" x14ac:dyDescent="0.25">
      <c r="A25" t="s">
        <v>135</v>
      </c>
      <c r="B25" s="1">
        <v>46058</v>
      </c>
      <c r="C25" t="s">
        <v>103</v>
      </c>
      <c r="D25" t="s">
        <v>136</v>
      </c>
      <c r="E25" s="2">
        <v>8</v>
      </c>
      <c r="F25" t="s">
        <v>87</v>
      </c>
    </row>
    <row r="26" spans="1:6" x14ac:dyDescent="0.25">
      <c r="A26" t="s">
        <v>137</v>
      </c>
      <c r="B26" s="1">
        <v>46059</v>
      </c>
      <c r="C26" t="s">
        <v>103</v>
      </c>
      <c r="D26" t="s">
        <v>138</v>
      </c>
      <c r="E26" s="2">
        <v>10</v>
      </c>
      <c r="F26" t="s">
        <v>87</v>
      </c>
    </row>
    <row r="27" spans="1:6" x14ac:dyDescent="0.25">
      <c r="A27" t="s">
        <v>139</v>
      </c>
      <c r="B27" s="1">
        <v>46071</v>
      </c>
      <c r="C27" t="s">
        <v>103</v>
      </c>
      <c r="D27" t="s">
        <v>140</v>
      </c>
      <c r="E27" s="2">
        <v>9</v>
      </c>
      <c r="F27" t="s">
        <v>87</v>
      </c>
    </row>
    <row r="28" spans="1:6" x14ac:dyDescent="0.25">
      <c r="A28" t="s">
        <v>141</v>
      </c>
      <c r="B28" s="1">
        <v>46073</v>
      </c>
      <c r="C28" t="s">
        <v>103</v>
      </c>
      <c r="D28" t="s">
        <v>142</v>
      </c>
      <c r="E28" s="2">
        <v>12</v>
      </c>
      <c r="F28" t="s">
        <v>87</v>
      </c>
    </row>
    <row r="29" spans="1:6" x14ac:dyDescent="0.25">
      <c r="A29" t="s">
        <v>143</v>
      </c>
      <c r="B29" s="1">
        <v>46075</v>
      </c>
      <c r="C29" t="s">
        <v>103</v>
      </c>
      <c r="D29" t="s">
        <v>144</v>
      </c>
      <c r="E29" s="2">
        <v>7</v>
      </c>
      <c r="F29" t="s">
        <v>87</v>
      </c>
    </row>
    <row r="30" spans="1:6" x14ac:dyDescent="0.25">
      <c r="A30" t="s">
        <v>145</v>
      </c>
      <c r="B30" s="1">
        <v>46078</v>
      </c>
      <c r="C30" t="s">
        <v>103</v>
      </c>
      <c r="D30" t="s">
        <v>146</v>
      </c>
      <c r="E30" s="2">
        <v>7</v>
      </c>
      <c r="F30" t="s">
        <v>87</v>
      </c>
    </row>
    <row r="31" spans="1:6" x14ac:dyDescent="0.25">
      <c r="A31" t="s">
        <v>183</v>
      </c>
      <c r="B31" s="1">
        <v>46086</v>
      </c>
      <c r="C31" t="s">
        <v>103</v>
      </c>
      <c r="D31" t="s">
        <v>184</v>
      </c>
      <c r="E31" s="2">
        <v>15</v>
      </c>
      <c r="F31" t="s">
        <v>87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E7D91-5FAE-4A38-97ED-8CAF70B2E75C}">
  <sheetPr codeName="Sheet6"/>
  <dimension ref="A1:E8"/>
  <sheetViews>
    <sheetView workbookViewId="0">
      <selection activeCell="A8" sqref="A8"/>
    </sheetView>
  </sheetViews>
  <sheetFormatPr defaultRowHeight="15" x14ac:dyDescent="0.25"/>
  <cols>
    <col min="1" max="1" width="13.85546875" customWidth="1"/>
    <col min="3" max="3" width="15.42578125" customWidth="1"/>
    <col min="5" max="5" width="20.7109375" customWidth="1"/>
  </cols>
  <sheetData>
    <row r="1" spans="1:5" x14ac:dyDescent="0.25">
      <c r="A1" t="s">
        <v>148</v>
      </c>
      <c r="C1" t="s">
        <v>154</v>
      </c>
      <c r="E1" s="8" t="s">
        <v>153</v>
      </c>
    </row>
    <row r="2" spans="1:5" x14ac:dyDescent="0.25">
      <c r="A2" t="s">
        <v>10</v>
      </c>
      <c r="C2" t="s">
        <v>69</v>
      </c>
      <c r="E2" s="7" t="s">
        <v>71</v>
      </c>
    </row>
    <row r="3" spans="1:5" x14ac:dyDescent="0.25">
      <c r="A3" t="s">
        <v>15</v>
      </c>
      <c r="C3" t="s">
        <v>72</v>
      </c>
      <c r="E3" s="9" t="s">
        <v>87</v>
      </c>
    </row>
    <row r="4" spans="1:5" x14ac:dyDescent="0.25">
      <c r="A4" t="s">
        <v>22</v>
      </c>
      <c r="C4" t="s">
        <v>73</v>
      </c>
    </row>
    <row r="5" spans="1:5" x14ac:dyDescent="0.25">
      <c r="A5" t="s">
        <v>32</v>
      </c>
      <c r="C5" t="s">
        <v>152</v>
      </c>
    </row>
    <row r="6" spans="1:5" x14ac:dyDescent="0.25">
      <c r="A6" t="s">
        <v>41</v>
      </c>
    </row>
    <row r="7" spans="1:5" x14ac:dyDescent="0.25">
      <c r="A7" t="s">
        <v>46</v>
      </c>
    </row>
    <row r="8" spans="1:5" x14ac:dyDescent="0.25">
      <c r="A8" t="s">
        <v>179</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8B333-B7EC-487E-8A75-D9973103006D}">
  <sheetPr codeName="Sheet7"/>
  <dimension ref="A1:CW15"/>
  <sheetViews>
    <sheetView showGridLines="0" tabSelected="1" topLeftCell="CC1" workbookViewId="0">
      <selection activeCell="CD1" sqref="CD1:CW3"/>
    </sheetView>
  </sheetViews>
  <sheetFormatPr defaultRowHeight="15" outlineLevelCol="1" x14ac:dyDescent="0.25"/>
  <cols>
    <col min="1" max="1" width="15.85546875" hidden="1" customWidth="1" outlineLevel="1"/>
    <col min="2" max="4" width="10.42578125" hidden="1" customWidth="1" outlineLevel="1"/>
    <col min="5" max="5" width="6.85546875" hidden="1" customWidth="1" outlineLevel="1"/>
    <col min="6" max="6" width="16" hidden="1" customWidth="1" outlineLevel="1"/>
    <col min="7" max="7" width="12.85546875" hidden="1" customWidth="1" outlineLevel="1"/>
    <col min="8" max="8" width="6.85546875" hidden="1" customWidth="1" outlineLevel="1"/>
    <col min="9" max="9" width="16.85546875" hidden="1" customWidth="1" outlineLevel="1"/>
    <col min="10" max="10" width="13.28515625" hidden="1" customWidth="1" outlineLevel="1"/>
    <col min="11" max="11" width="6.85546875" hidden="1" customWidth="1" outlineLevel="1"/>
    <col min="12" max="12" width="15.5703125" hidden="1" customWidth="1" outlineLevel="1"/>
    <col min="13" max="13" width="9.140625" hidden="1" customWidth="1" outlineLevel="1"/>
    <col min="14" max="14" width="16.140625" hidden="1" customWidth="1" outlineLevel="1"/>
    <col min="15" max="21" width="9.140625" hidden="1" customWidth="1" outlineLevel="1"/>
    <col min="22" max="22" width="13.140625" hidden="1" customWidth="1" outlineLevel="1"/>
    <col min="23" max="23" width="15.85546875" hidden="1" customWidth="1" outlineLevel="1"/>
    <col min="24" max="29" width="9.140625" hidden="1" customWidth="1" outlineLevel="1"/>
    <col min="30" max="30" width="13.140625" hidden="1" customWidth="1" outlineLevel="1"/>
    <col min="31" max="31" width="12.5703125" hidden="1" customWidth="1" outlineLevel="1"/>
    <col min="32" max="36" width="9.140625" hidden="1" customWidth="1" outlineLevel="1"/>
    <col min="37" max="37" width="13.140625" hidden="1" customWidth="1" outlineLevel="1"/>
    <col min="38" max="38" width="15.85546875" hidden="1" customWidth="1" outlineLevel="1"/>
    <col min="39" max="44" width="9.140625" hidden="1" customWidth="1" outlineLevel="1"/>
    <col min="45" max="45" width="13.140625" hidden="1" customWidth="1" outlineLevel="1"/>
    <col min="46" max="46" width="16.85546875" hidden="1" customWidth="1" outlineLevel="1"/>
    <col min="47" max="52" width="9.140625" hidden="1" customWidth="1" outlineLevel="1"/>
    <col min="53" max="53" width="13.140625" hidden="1" customWidth="1" outlineLevel="1"/>
    <col min="54" max="54" width="16.85546875" hidden="1" customWidth="1" outlineLevel="1"/>
    <col min="55" max="55" width="11.42578125" hidden="1" customWidth="1" outlineLevel="1"/>
    <col min="56" max="56" width="12.5703125" hidden="1" customWidth="1" outlineLevel="1"/>
    <col min="57" max="59" width="9.140625" hidden="1" customWidth="1" outlineLevel="1"/>
    <col min="60" max="60" width="15.85546875" hidden="1" customWidth="1" outlineLevel="1"/>
    <col min="61" max="61" width="16.28515625" hidden="1" customWidth="1" outlineLevel="1"/>
    <col min="62" max="62" width="7.5703125" hidden="1" customWidth="1" outlineLevel="1"/>
    <col min="63" max="63" width="9.140625" hidden="1" customWidth="1" outlineLevel="1"/>
    <col min="64" max="64" width="9.85546875" hidden="1" customWidth="1" outlineLevel="1"/>
    <col min="65" max="65" width="11.85546875" hidden="1" customWidth="1" outlineLevel="1"/>
    <col min="66" max="66" width="7.5703125" hidden="1" customWidth="1" outlineLevel="1"/>
    <col min="67" max="67" width="11.28515625" hidden="1" customWidth="1" outlineLevel="1"/>
    <col min="68" max="70" width="9.140625" hidden="1" customWidth="1" outlineLevel="1"/>
    <col min="71" max="71" width="13.140625" hidden="1" customWidth="1" outlineLevel="1"/>
    <col min="72" max="72" width="16.85546875" hidden="1" customWidth="1" outlineLevel="1"/>
    <col min="73" max="80" width="9.140625" hidden="1" customWidth="1" outlineLevel="1"/>
    <col min="81" max="81" width="9.140625" collapsed="1"/>
  </cols>
  <sheetData>
    <row r="1" spans="1:101" ht="15" customHeight="1" thickBot="1" x14ac:dyDescent="0.3">
      <c r="A1" t="s">
        <v>175</v>
      </c>
      <c r="F1" t="s">
        <v>169</v>
      </c>
      <c r="I1" t="s">
        <v>168</v>
      </c>
      <c r="L1" t="s">
        <v>171</v>
      </c>
      <c r="N1" t="s">
        <v>170</v>
      </c>
      <c r="Q1" t="s">
        <v>172</v>
      </c>
      <c r="V1" s="12" t="s">
        <v>173</v>
      </c>
      <c r="W1" t="s">
        <v>175</v>
      </c>
      <c r="AD1" s="12" t="s">
        <v>173</v>
      </c>
      <c r="AE1" t="s">
        <v>176</v>
      </c>
      <c r="AK1" s="12" t="s">
        <v>173</v>
      </c>
      <c r="AL1" t="s">
        <v>175</v>
      </c>
      <c r="AS1" s="12" t="s">
        <v>173</v>
      </c>
      <c r="AT1" t="s">
        <v>168</v>
      </c>
      <c r="BA1" s="12" t="s">
        <v>77</v>
      </c>
      <c r="BB1" t="s">
        <v>177</v>
      </c>
      <c r="BH1" s="12" t="s">
        <v>64</v>
      </c>
      <c r="BI1" t="s">
        <v>177</v>
      </c>
      <c r="BS1" s="12" t="s">
        <v>79</v>
      </c>
      <c r="BT1" t="s">
        <v>177</v>
      </c>
      <c r="CD1" s="19" t="s">
        <v>185</v>
      </c>
      <c r="CE1" s="19"/>
      <c r="CF1" s="19"/>
      <c r="CG1" s="19"/>
      <c r="CH1" s="19"/>
      <c r="CI1" s="19"/>
      <c r="CJ1" s="19"/>
      <c r="CK1" s="19"/>
      <c r="CL1" s="19"/>
      <c r="CM1" s="19"/>
      <c r="CN1" s="19"/>
      <c r="CO1" s="19"/>
      <c r="CP1" s="19"/>
      <c r="CQ1" s="19"/>
      <c r="CR1" s="19"/>
      <c r="CS1" s="19"/>
      <c r="CT1" s="19"/>
      <c r="CU1" s="19"/>
      <c r="CV1" s="19"/>
      <c r="CW1" s="19"/>
    </row>
    <row r="2" spans="1:101" s="2" customFormat="1" ht="15" customHeight="1" thickTop="1" thickBot="1" x14ac:dyDescent="0.3">
      <c r="A2" s="2">
        <v>5765</v>
      </c>
      <c r="B2" s="2">
        <f>GETPIVOTDATA("PriceSale",$A$1)</f>
        <v>5765</v>
      </c>
      <c r="C2"/>
      <c r="F2" s="2">
        <v>6697.5599999999986</v>
      </c>
      <c r="G2" s="2">
        <f>GETPIVOTDATA("CostPrice",$F$1)</f>
        <v>6697.5599999999986</v>
      </c>
      <c r="I2" s="2">
        <v>179.4</v>
      </c>
      <c r="J2" s="2">
        <f>GETPIVOTDATA("AmountEx",$I$1)</f>
        <v>179.4</v>
      </c>
      <c r="L2" s="2">
        <f>B2-G2-J2</f>
        <v>-1111.9599999999987</v>
      </c>
      <c r="N2" s="23">
        <v>19</v>
      </c>
      <c r="O2">
        <f>GETPIVOTDATA("OrderID",$N$1)</f>
        <v>19</v>
      </c>
      <c r="Q2" s="2">
        <f>B2/GETPIVOTDATA("OrderID",$N$1)</f>
        <v>303.42105263157896</v>
      </c>
      <c r="V2" s="13" t="s">
        <v>22</v>
      </c>
      <c r="W2" s="2">
        <v>390</v>
      </c>
      <c r="X2"/>
      <c r="AD2" s="13" t="s">
        <v>22</v>
      </c>
      <c r="AE2" s="2">
        <v>157.03000000000003</v>
      </c>
      <c r="AF2"/>
      <c r="AK2" s="14">
        <v>46030</v>
      </c>
      <c r="AL2" s="2">
        <v>415</v>
      </c>
      <c r="AM2"/>
      <c r="AS2" s="13" t="s">
        <v>85</v>
      </c>
      <c r="AT2" s="2">
        <v>28.4</v>
      </c>
      <c r="AU2"/>
      <c r="BA2"/>
      <c r="BB2"/>
      <c r="BC2"/>
      <c r="BD2"/>
      <c r="BH2" s="12" t="s">
        <v>65</v>
      </c>
      <c r="BI2" t="s">
        <v>177</v>
      </c>
      <c r="BJ2"/>
      <c r="BK2"/>
      <c r="BL2"/>
      <c r="BM2"/>
      <c r="BN2"/>
      <c r="BO2"/>
      <c r="BS2"/>
      <c r="BT2"/>
      <c r="BU2"/>
      <c r="CD2" s="19"/>
      <c r="CE2" s="19"/>
      <c r="CF2" s="19"/>
      <c r="CG2" s="19"/>
      <c r="CH2" s="19"/>
      <c r="CI2" s="19"/>
      <c r="CJ2" s="19"/>
      <c r="CK2" s="19"/>
      <c r="CL2" s="19"/>
      <c r="CM2" s="19"/>
      <c r="CN2" s="19"/>
      <c r="CO2" s="19"/>
      <c r="CP2" s="19"/>
      <c r="CQ2" s="19"/>
      <c r="CR2" s="19"/>
      <c r="CS2" s="19"/>
      <c r="CT2" s="19"/>
      <c r="CU2" s="19"/>
      <c r="CV2" s="19"/>
      <c r="CW2" s="19"/>
    </row>
    <row r="3" spans="1:101" ht="15" customHeight="1" thickTop="1" thickBot="1" x14ac:dyDescent="0.3">
      <c r="V3" s="13" t="s">
        <v>15</v>
      </c>
      <c r="W3" s="2">
        <v>610</v>
      </c>
      <c r="AD3" s="13" t="s">
        <v>15</v>
      </c>
      <c r="AE3" s="2">
        <v>155.55000000000001</v>
      </c>
      <c r="AK3" s="14">
        <v>46031</v>
      </c>
      <c r="AL3" s="2">
        <v>300</v>
      </c>
      <c r="AS3" s="13" t="s">
        <v>91</v>
      </c>
      <c r="AT3" s="2">
        <v>17</v>
      </c>
      <c r="BA3" s="12" t="s">
        <v>173</v>
      </c>
      <c r="BB3" t="s">
        <v>167</v>
      </c>
      <c r="BC3" t="s">
        <v>166</v>
      </c>
      <c r="BD3" t="s">
        <v>176</v>
      </c>
      <c r="BS3" s="12" t="s">
        <v>173</v>
      </c>
      <c r="BT3" t="s">
        <v>168</v>
      </c>
      <c r="CD3" s="19"/>
      <c r="CE3" s="19"/>
      <c r="CF3" s="19"/>
      <c r="CG3" s="19"/>
      <c r="CH3" s="19"/>
      <c r="CI3" s="19"/>
      <c r="CJ3" s="19"/>
      <c r="CK3" s="19"/>
      <c r="CL3" s="19"/>
      <c r="CM3" s="19"/>
      <c r="CN3" s="19"/>
      <c r="CO3" s="19"/>
      <c r="CP3" s="19"/>
      <c r="CQ3" s="19"/>
      <c r="CR3" s="19"/>
      <c r="CS3" s="19"/>
      <c r="CT3" s="19"/>
      <c r="CU3" s="19"/>
      <c r="CV3" s="19"/>
      <c r="CW3" s="19"/>
    </row>
    <row r="4" spans="1:101" ht="15.75" thickTop="1" x14ac:dyDescent="0.25">
      <c r="V4" s="13" t="s">
        <v>32</v>
      </c>
      <c r="W4" s="2">
        <v>1200</v>
      </c>
      <c r="AD4" s="13" t="s">
        <v>32</v>
      </c>
      <c r="AE4" s="2">
        <v>379.75</v>
      </c>
      <c r="AK4" s="14">
        <v>46035</v>
      </c>
      <c r="AL4" s="2">
        <v>460</v>
      </c>
      <c r="AS4" s="13" t="s">
        <v>94</v>
      </c>
      <c r="AT4" s="2">
        <v>10</v>
      </c>
      <c r="BA4" s="13" t="s">
        <v>22</v>
      </c>
      <c r="BB4" s="2">
        <v>232.96999999999997</v>
      </c>
      <c r="BC4" s="2">
        <v>390</v>
      </c>
      <c r="BD4" s="2">
        <v>157.03000000000003</v>
      </c>
      <c r="BH4" s="12" t="s">
        <v>175</v>
      </c>
      <c r="BI4" s="12" t="s">
        <v>178</v>
      </c>
      <c r="BS4" s="13" t="s">
        <v>85</v>
      </c>
      <c r="BT4" s="2">
        <v>28.4</v>
      </c>
    </row>
    <row r="5" spans="1:101" x14ac:dyDescent="0.25">
      <c r="V5" s="13" t="s">
        <v>10</v>
      </c>
      <c r="W5" s="2">
        <v>2215</v>
      </c>
      <c r="AD5" s="13" t="s">
        <v>10</v>
      </c>
      <c r="AE5" s="2">
        <v>475.02</v>
      </c>
      <c r="AK5" s="14">
        <v>46036</v>
      </c>
      <c r="AL5" s="2">
        <v>100</v>
      </c>
      <c r="AS5" s="13" t="s">
        <v>103</v>
      </c>
      <c r="AT5" s="2">
        <v>124</v>
      </c>
      <c r="BA5" s="13" t="s">
        <v>15</v>
      </c>
      <c r="BB5" s="2">
        <v>454.45</v>
      </c>
      <c r="BC5" s="2">
        <v>610</v>
      </c>
      <c r="BD5" s="2">
        <v>155.55000000000001</v>
      </c>
      <c r="BH5" s="12" t="s">
        <v>173</v>
      </c>
      <c r="BI5" t="s">
        <v>22</v>
      </c>
      <c r="BJ5" t="s">
        <v>15</v>
      </c>
      <c r="BK5" t="s">
        <v>32</v>
      </c>
      <c r="BL5" t="s">
        <v>10</v>
      </c>
      <c r="BM5" t="s">
        <v>46</v>
      </c>
      <c r="BN5" t="s">
        <v>41</v>
      </c>
      <c r="BO5" t="s">
        <v>174</v>
      </c>
      <c r="BS5" s="13" t="s">
        <v>91</v>
      </c>
      <c r="BT5" s="2">
        <v>17</v>
      </c>
    </row>
    <row r="6" spans="1:101" x14ac:dyDescent="0.25">
      <c r="V6" s="13" t="s">
        <v>46</v>
      </c>
      <c r="W6" s="2">
        <v>260</v>
      </c>
      <c r="AD6" s="13" t="s">
        <v>46</v>
      </c>
      <c r="AE6" s="2">
        <v>80.009999999999991</v>
      </c>
      <c r="AK6" s="14">
        <v>46037</v>
      </c>
      <c r="AL6" s="2">
        <v>400</v>
      </c>
      <c r="AS6" s="13" t="s">
        <v>174</v>
      </c>
      <c r="AT6" s="16">
        <v>179.4</v>
      </c>
      <c r="BA6" s="13" t="s">
        <v>32</v>
      </c>
      <c r="BB6" s="2">
        <v>820.25</v>
      </c>
      <c r="BC6" s="2">
        <v>1200</v>
      </c>
      <c r="BD6" s="2">
        <v>379.75</v>
      </c>
      <c r="BH6" s="14">
        <v>46030</v>
      </c>
      <c r="BI6" s="2"/>
      <c r="BJ6" s="2"/>
      <c r="BK6" s="2"/>
      <c r="BL6" s="2">
        <v>415</v>
      </c>
      <c r="BM6" s="2"/>
      <c r="BN6" s="2"/>
      <c r="BO6" s="2">
        <v>415</v>
      </c>
      <c r="BS6" s="13" t="s">
        <v>94</v>
      </c>
      <c r="BT6" s="2">
        <v>10</v>
      </c>
    </row>
    <row r="7" spans="1:101" x14ac:dyDescent="0.25">
      <c r="V7" s="13" t="s">
        <v>41</v>
      </c>
      <c r="W7" s="2">
        <v>1090</v>
      </c>
      <c r="AD7" s="13" t="s">
        <v>41</v>
      </c>
      <c r="AE7" s="2">
        <v>176.01999999999998</v>
      </c>
      <c r="AK7" s="14">
        <v>46038</v>
      </c>
      <c r="AL7" s="2">
        <v>250</v>
      </c>
      <c r="BA7" s="13" t="s">
        <v>10</v>
      </c>
      <c r="BB7" s="2">
        <v>2689.9700000000003</v>
      </c>
      <c r="BC7" s="2">
        <v>2215</v>
      </c>
      <c r="BD7" s="2">
        <v>475.02</v>
      </c>
      <c r="BH7" s="14">
        <v>46031</v>
      </c>
      <c r="BI7" s="2"/>
      <c r="BJ7" s="2">
        <v>300</v>
      </c>
      <c r="BK7" s="2"/>
      <c r="BL7" s="2"/>
      <c r="BM7" s="2"/>
      <c r="BN7" s="2"/>
      <c r="BO7" s="2">
        <v>300</v>
      </c>
      <c r="BS7" s="13" t="s">
        <v>103</v>
      </c>
      <c r="BT7" s="2">
        <v>124</v>
      </c>
    </row>
    <row r="8" spans="1:101" x14ac:dyDescent="0.25">
      <c r="V8" s="13" t="s">
        <v>174</v>
      </c>
      <c r="W8" s="2">
        <v>5765</v>
      </c>
      <c r="AD8" s="13" t="s">
        <v>179</v>
      </c>
      <c r="AE8" s="2">
        <v>0</v>
      </c>
      <c r="AK8" s="14">
        <v>46039</v>
      </c>
      <c r="AL8" s="2">
        <v>1940</v>
      </c>
      <c r="BA8" s="13" t="s">
        <v>46</v>
      </c>
      <c r="BB8" s="2">
        <v>545.97</v>
      </c>
      <c r="BC8" s="2">
        <v>260</v>
      </c>
      <c r="BD8" s="2">
        <v>80.009999999999991</v>
      </c>
      <c r="BH8" s="14">
        <v>46035</v>
      </c>
      <c r="BI8" s="2">
        <v>150</v>
      </c>
      <c r="BJ8" s="2">
        <v>310</v>
      </c>
      <c r="BK8" s="2"/>
      <c r="BL8" s="2"/>
      <c r="BM8" s="2"/>
      <c r="BN8" s="2"/>
      <c r="BO8" s="2">
        <v>460</v>
      </c>
      <c r="BS8" s="13" t="s">
        <v>174</v>
      </c>
      <c r="BT8" s="2">
        <v>179.4</v>
      </c>
    </row>
    <row r="9" spans="1:101" x14ac:dyDescent="0.25">
      <c r="AD9" s="13" t="s">
        <v>174</v>
      </c>
      <c r="AE9" s="2">
        <v>1423.3799999999999</v>
      </c>
      <c r="AK9" s="14">
        <v>46041</v>
      </c>
      <c r="AL9" s="2">
        <v>1220</v>
      </c>
      <c r="BA9" s="13" t="s">
        <v>41</v>
      </c>
      <c r="BB9" s="2">
        <v>1833.96</v>
      </c>
      <c r="BC9" s="2">
        <v>1090</v>
      </c>
      <c r="BD9" s="2">
        <v>176.01999999999998</v>
      </c>
      <c r="BH9" s="14">
        <v>46036</v>
      </c>
      <c r="BI9" s="2">
        <v>100</v>
      </c>
      <c r="BJ9" s="2"/>
      <c r="BK9" s="2"/>
      <c r="BL9" s="2"/>
      <c r="BM9" s="2"/>
      <c r="BN9" s="2"/>
      <c r="BO9" s="2">
        <v>100</v>
      </c>
    </row>
    <row r="10" spans="1:101" x14ac:dyDescent="0.25">
      <c r="AK10" s="14">
        <v>46042</v>
      </c>
      <c r="AL10" s="2">
        <v>260</v>
      </c>
      <c r="BA10" s="13" t="s">
        <v>179</v>
      </c>
      <c r="BB10" s="2">
        <v>119.99</v>
      </c>
      <c r="BC10" s="2">
        <v>0</v>
      </c>
      <c r="BD10" s="2">
        <v>0</v>
      </c>
      <c r="BH10" s="14">
        <v>46037</v>
      </c>
      <c r="BI10" s="2"/>
      <c r="BJ10" s="2"/>
      <c r="BK10" s="2">
        <v>400</v>
      </c>
      <c r="BL10" s="2"/>
      <c r="BM10" s="2"/>
      <c r="BN10" s="2"/>
      <c r="BO10" s="2">
        <v>400</v>
      </c>
    </row>
    <row r="11" spans="1:101" x14ac:dyDescent="0.25">
      <c r="AK11" s="14">
        <v>46086</v>
      </c>
      <c r="AL11" s="2">
        <v>420</v>
      </c>
      <c r="BA11" s="13" t="s">
        <v>174</v>
      </c>
      <c r="BB11" s="2">
        <v>6697.56</v>
      </c>
      <c r="BC11" s="2">
        <v>5765</v>
      </c>
      <c r="BD11" s="2">
        <v>1423.3799999999999</v>
      </c>
      <c r="BH11" s="14">
        <v>46038</v>
      </c>
      <c r="BI11" s="2"/>
      <c r="BJ11" s="2"/>
      <c r="BK11" s="2"/>
      <c r="BL11" s="2"/>
      <c r="BM11" s="2"/>
      <c r="BN11" s="2">
        <v>250</v>
      </c>
      <c r="BO11" s="2">
        <v>250</v>
      </c>
    </row>
    <row r="12" spans="1:101" x14ac:dyDescent="0.25">
      <c r="AK12" s="13" t="s">
        <v>174</v>
      </c>
      <c r="AL12" s="2">
        <v>5765</v>
      </c>
      <c r="BH12" s="14">
        <v>46039</v>
      </c>
      <c r="BI12" s="2">
        <v>140</v>
      </c>
      <c r="BJ12" s="2"/>
      <c r="BK12" s="2"/>
      <c r="BL12" s="2">
        <v>1800</v>
      </c>
      <c r="BM12" s="2"/>
      <c r="BN12" s="2"/>
      <c r="BO12" s="2">
        <v>1940</v>
      </c>
    </row>
    <row r="13" spans="1:101" x14ac:dyDescent="0.25">
      <c r="BH13" s="14">
        <v>46041</v>
      </c>
      <c r="BI13" s="2"/>
      <c r="BJ13" s="2"/>
      <c r="BK13" s="2">
        <v>800</v>
      </c>
      <c r="BL13" s="2"/>
      <c r="BM13" s="2"/>
      <c r="BN13" s="2">
        <v>420</v>
      </c>
      <c r="BO13" s="2">
        <v>1220</v>
      </c>
    </row>
    <row r="14" spans="1:101" x14ac:dyDescent="0.25">
      <c r="BH14" s="14">
        <v>46042</v>
      </c>
      <c r="BI14" s="2"/>
      <c r="BJ14" s="2"/>
      <c r="BK14" s="2"/>
      <c r="BL14" s="2"/>
      <c r="BM14" s="2">
        <v>260</v>
      </c>
      <c r="BN14" s="2"/>
      <c r="BO14" s="2">
        <v>260</v>
      </c>
    </row>
    <row r="15" spans="1:101" x14ac:dyDescent="0.25">
      <c r="BH15" s="13" t="s">
        <v>174</v>
      </c>
      <c r="BI15" s="2">
        <v>390</v>
      </c>
      <c r="BJ15" s="2">
        <v>610</v>
      </c>
      <c r="BK15" s="2">
        <v>1200</v>
      </c>
      <c r="BL15" s="2">
        <v>2215</v>
      </c>
      <c r="BM15" s="2">
        <v>260</v>
      </c>
      <c r="BN15" s="2">
        <v>670</v>
      </c>
      <c r="BO15" s="2">
        <v>5345</v>
      </c>
    </row>
  </sheetData>
  <mergeCells count="1">
    <mergeCell ref="CD1:CW3"/>
  </mergeCells>
  <pageMargins left="0.7" right="0.7" top="0.75" bottom="0.75" header="0.3" footer="0.3"/>
  <drawing r:id="rId12"/>
  <extLst>
    <ext xmlns:x14="http://schemas.microsoft.com/office/spreadsheetml/2009/9/main" uri="{A8765BA9-456A-4dab-B4F3-ACF838C121DE}">
      <x14:slicerList>
        <x14:slicer r:id="rId13"/>
      </x14:slicerList>
    </ext>
    <ext xmlns:x15="http://schemas.microsoft.com/office/spreadsheetml/2010/11/main" uri="{7E03D99C-DC04-49d9-9315-930204A7B6E9}">
      <x15:timelineRefs>
        <x15:timelineRef r:id="rId1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6FE08A2-DB40-4FA5-823E-6AC641D0B690}">
  <ds:schemaRefs/>
</ds:datastoreItem>
</file>

<file path=customXml/itemProps2.xml><?xml version="1.0" encoding="utf-8"?>
<ds:datastoreItem xmlns:ds="http://schemas.openxmlformats.org/officeDocument/2006/customXml" ds:itemID="{41737326-6A89-4497-9EF8-A590C41A7743}">
  <ds:schemaRefs/>
</ds:datastoreItem>
</file>

<file path=customXml/itemProps3.xml><?xml version="1.0" encoding="utf-8"?>
<ds:datastoreItem xmlns:ds="http://schemas.openxmlformats.org/officeDocument/2006/customXml" ds:itemID="{5A715448-A3B6-4CF5-8FE4-59801188B924}">
  <ds:schemaRefs/>
</ds:datastoreItem>
</file>

<file path=customXml/itemProps4.xml><?xml version="1.0" encoding="utf-8"?>
<ds:datastoreItem xmlns:ds="http://schemas.openxmlformats.org/officeDocument/2006/customXml" ds:itemID="{BBFDE49E-CA12-4450-85D0-057304D6DDDF}">
  <ds:schemaRefs/>
</ds:datastoreItem>
</file>

<file path=customXml/itemProps5.xml><?xml version="1.0" encoding="utf-8"?>
<ds:datastoreItem xmlns:ds="http://schemas.openxmlformats.org/officeDocument/2006/customXml" ds:itemID="{DA0781B9-EC15-4AAE-B060-15CE0C677CAE}">
  <ds:schemaRefs/>
</ds:datastoreItem>
</file>

<file path=customXml/itemProps6.xml><?xml version="1.0" encoding="utf-8"?>
<ds:datastoreItem xmlns:ds="http://schemas.openxmlformats.org/officeDocument/2006/customXml" ds:itemID="{D013EFD0-DA4D-47D7-B0A7-0DDEAB6F5CB9}">
  <ds:schemaRefs/>
</ds:datastoreItem>
</file>

<file path=customXml/itemProps7.xml><?xml version="1.0" encoding="utf-8"?>
<ds:datastoreItem xmlns:ds="http://schemas.openxmlformats.org/officeDocument/2006/customXml" ds:itemID="{9C773DE9-1C56-4295-87B2-D523FF5859FC}">
  <ds:schemaRefs/>
</ds:datastoreItem>
</file>

<file path=customXml/itemProps8.xml><?xml version="1.0" encoding="utf-8"?>
<ds:datastoreItem xmlns:ds="http://schemas.openxmlformats.org/officeDocument/2006/customXml" ds:itemID="{64DC4A6D-88D2-49FE-8BD7-7D33F548E143}">
  <ds:schemaRefs/>
</ds:datastoreItem>
</file>

<file path=customXml/itemProps9.xml><?xml version="1.0" encoding="utf-8"?>
<ds:datastoreItem xmlns:ds="http://schemas.openxmlformats.org/officeDocument/2006/customXml" ds:itemID="{92D1A6E9-5A51-4E5C-8936-FCC1CCCD81AC}">
  <ds:schemaRefs/>
</ds:datastoreItem>
</file>

<file path=customXml/itemProps10.xml><?xml version="1.0" encoding="utf-8"?>
<ds:datastoreItem xmlns:ds="http://schemas.openxmlformats.org/officeDocument/2006/customXml" ds:itemID="{B0D102D6-3EC4-4352-8B7E-45469B0DA557}">
  <ds:schemaRefs/>
</ds:datastoreItem>
</file>

<file path=customXml/itemProps11.xml><?xml version="1.0" encoding="utf-8"?>
<ds:datastoreItem xmlns:ds="http://schemas.openxmlformats.org/officeDocument/2006/customXml" ds:itemID="{7C233856-BCF7-4805-B0F0-DAFA0111782A}">
  <ds:schemaRefs/>
</ds:datastoreItem>
</file>

<file path=customXml/itemProps12.xml><?xml version="1.0" encoding="utf-8"?>
<ds:datastoreItem xmlns:ds="http://schemas.openxmlformats.org/officeDocument/2006/customXml" ds:itemID="{A376FBB2-2644-4BAD-9BCF-F9147A4CFEE8}">
  <ds:schemaRefs/>
</ds:datastoreItem>
</file>

<file path=customXml/itemProps13.xml><?xml version="1.0" encoding="utf-8"?>
<ds:datastoreItem xmlns:ds="http://schemas.openxmlformats.org/officeDocument/2006/customXml" ds:itemID="{C3410707-3C82-4BC8-9D16-B51D6B7BE3B2}">
  <ds:schemaRefs/>
</ds:datastoreItem>
</file>

<file path=customXml/itemProps14.xml><?xml version="1.0" encoding="utf-8"?>
<ds:datastoreItem xmlns:ds="http://schemas.openxmlformats.org/officeDocument/2006/customXml" ds:itemID="{099FA394-8825-496F-A084-B35AA7F4164A}">
  <ds:schemaRefs/>
</ds:datastoreItem>
</file>

<file path=customXml/itemProps15.xml><?xml version="1.0" encoding="utf-8"?>
<ds:datastoreItem xmlns:ds="http://schemas.openxmlformats.org/officeDocument/2006/customXml" ds:itemID="{0ACBF7C1-A6AA-4CCF-89A8-B7C07103B27C}">
  <ds:schemaRefs/>
</ds:datastoreItem>
</file>

<file path=customXml/itemProps16.xml><?xml version="1.0" encoding="utf-8"?>
<ds:datastoreItem xmlns:ds="http://schemas.openxmlformats.org/officeDocument/2006/customXml" ds:itemID="{C8B28A17-1A61-4957-AFC4-F503203FE73C}">
  <ds:schemaRefs/>
</ds:datastoreItem>
</file>

<file path=customXml/itemProps17.xml><?xml version="1.0" encoding="utf-8"?>
<ds:datastoreItem xmlns:ds="http://schemas.openxmlformats.org/officeDocument/2006/customXml" ds:itemID="{8FD13A7F-00C6-409F-A726-E70703FDF729}">
  <ds:schemaRefs/>
</ds:datastoreItem>
</file>

<file path=customXml/itemProps18.xml><?xml version="1.0" encoding="utf-8"?>
<ds:datastoreItem xmlns:ds="http://schemas.openxmlformats.org/officeDocument/2006/customXml" ds:itemID="{A1471E20-80AA-4C30-A478-9D6E5A45B137}">
  <ds:schemaRefs/>
</ds:datastoreItem>
</file>

<file path=customXml/itemProps19.xml><?xml version="1.0" encoding="utf-8"?>
<ds:datastoreItem xmlns:ds="http://schemas.openxmlformats.org/officeDocument/2006/customXml" ds:itemID="{32F9ED21-798B-4F45-A594-2B352F2E113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Entry</vt:lpstr>
      <vt:lpstr>Purchases</vt:lpstr>
      <vt:lpstr>Sales</vt:lpstr>
      <vt:lpstr>Inventory</vt:lpstr>
      <vt:lpstr>Expensives</vt:lpstr>
      <vt:lpstr>Parameters</vt:lpstr>
      <vt:lpstr>Dashboard</vt:lpstr>
      <vt:lpstr>AmountEx</vt:lpstr>
      <vt:lpstr>CategoryEx</vt:lpstr>
      <vt:lpstr>CostPrice</vt:lpstr>
      <vt:lpstr>CustomerName</vt:lpstr>
      <vt:lpstr>Sales!Date</vt:lpstr>
      <vt:lpstr>Date</vt:lpstr>
      <vt:lpstr>DateEx</vt:lpstr>
      <vt:lpstr>Delivery</vt:lpstr>
      <vt:lpstr>DescriptionEx</vt:lpstr>
      <vt:lpstr>ExpenseIDEx</vt:lpstr>
      <vt:lpstr>LastPrice</vt:lpstr>
      <vt:lpstr>Link</vt:lpstr>
      <vt:lpstr>Inventory!OrderID</vt:lpstr>
      <vt:lpstr>Sales!OrderID</vt:lpstr>
      <vt:lpstr>OrderID</vt:lpstr>
      <vt:lpstr>PaymentMethod</vt:lpstr>
      <vt:lpstr>PaymentMethodDV</vt:lpstr>
      <vt:lpstr>PaymentMethodEx</vt:lpstr>
      <vt:lpstr>Platform</vt:lpstr>
      <vt:lpstr>PlatformDV</vt:lpstr>
      <vt:lpstr>PriceSale</vt:lpstr>
      <vt:lpstr>Inventory!Product</vt:lpstr>
      <vt:lpstr>Sales!Product</vt:lpstr>
      <vt:lpstr>Product</vt:lpstr>
      <vt:lpstr>Profit</vt:lpstr>
      <vt:lpstr>Purchased</vt:lpstr>
      <vt:lpstr>Inventory!SKU</vt:lpstr>
      <vt:lpstr>SKU</vt:lpstr>
      <vt:lpstr>SKU2_</vt:lpstr>
      <vt:lpstr>SKUDV</vt:lpstr>
      <vt:lpstr>Sold</vt:lpstr>
      <vt:lpstr>SoldBy</vt:lpstr>
      <vt:lpstr>Status</vt:lpstr>
      <vt:lpstr>Supplier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Flores</dc:creator>
  <cp:lastModifiedBy>Carlos Flores</cp:lastModifiedBy>
  <dcterms:created xsi:type="dcterms:W3CDTF">2015-06-05T18:17:20Z</dcterms:created>
  <dcterms:modified xsi:type="dcterms:W3CDTF">2026-03-06T04:05:50Z</dcterms:modified>
</cp:coreProperties>
</file>